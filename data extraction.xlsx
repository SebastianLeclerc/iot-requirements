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dentmdh-my.sharepoint.com/personal/sebastian_leclerc_mdu_se/Documents/Desktop/snowballing/replication package/"/>
    </mc:Choice>
  </mc:AlternateContent>
  <xr:revisionPtr revIDLastSave="7255" documentId="8_{5A8C1BEB-9EC7-4507-9289-A3687666FBEF}" xr6:coauthVersionLast="47" xr6:coauthVersionMax="47" xr10:uidLastSave="{591FF2FD-43FF-4708-85A3-395F76D563C2}"/>
  <bookViews>
    <workbookView xWindow="-120" yWindow="-120" windowWidth="51840" windowHeight="21120" activeTab="1" xr2:uid="{E5FC14FD-569A-4C7C-8816-2B6A664449F7}"/>
  </bookViews>
  <sheets>
    <sheet name="raw data" sheetId="1" r:id="rId1"/>
    <sheet name="transposed" sheetId="6" r:id="rId2"/>
    <sheet name="sorted columns" sheetId="7" r:id="rId3"/>
    <sheet name="domain mapping table" sheetId="13" r:id="rId4"/>
    <sheet name="domain sorted" sheetId="8" r:id="rId5"/>
    <sheet name="application mapping table" sheetId="15" r:id="rId6"/>
    <sheet name="application sorted" sheetId="19" r:id="rId7"/>
    <sheet name="normalized" sheetId="21" r:id="rId8"/>
    <sheet name="merged" sheetId="24" r:id="rId9"/>
    <sheet name="final" sheetId="2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36" i="24" l="1"/>
  <c r="C235" i="24"/>
  <c r="C234" i="24"/>
  <c r="C233" i="24"/>
  <c r="C232" i="24"/>
  <c r="C231" i="24"/>
  <c r="C230" i="24"/>
  <c r="C229" i="24"/>
  <c r="C228" i="24"/>
  <c r="C227" i="24"/>
  <c r="C226" i="24"/>
  <c r="C225" i="24"/>
  <c r="C224" i="24"/>
  <c r="C223" i="24"/>
  <c r="C222" i="24"/>
  <c r="C221" i="24"/>
  <c r="C220" i="24"/>
  <c r="C219" i="24"/>
  <c r="C218" i="24"/>
  <c r="C217" i="24"/>
  <c r="C216" i="24"/>
  <c r="C215" i="24"/>
  <c r="Y2" i="24"/>
  <c r="Y7" i="24"/>
  <c r="Y166" i="24"/>
  <c r="Y200" i="24"/>
  <c r="X200" i="24"/>
  <c r="W200" i="24"/>
  <c r="P62" i="7"/>
  <c r="AA259" i="19"/>
  <c r="AA246" i="19"/>
  <c r="AA247" i="19"/>
  <c r="AA248" i="19"/>
  <c r="AA251" i="19"/>
  <c r="AA252" i="19"/>
  <c r="AA253" i="19"/>
  <c r="AA255" i="19"/>
  <c r="AA256" i="19"/>
  <c r="AA257" i="19"/>
  <c r="AA258" i="19"/>
  <c r="AA261" i="19"/>
  <c r="AA262" i="19"/>
  <c r="AA264" i="19"/>
  <c r="AA265" i="19"/>
  <c r="AA266" i="19"/>
  <c r="AA268" i="19"/>
  <c r="AA269" i="19"/>
  <c r="AA270" i="19"/>
  <c r="AA245" i="19"/>
  <c r="AA244" i="19"/>
  <c r="AB272" i="19"/>
  <c r="AB264" i="19"/>
  <c r="AB268" i="19"/>
  <c r="AB261" i="19"/>
  <c r="AB244" i="19"/>
  <c r="AB255" i="19"/>
  <c r="AB251" i="19"/>
  <c r="Y97" i="24"/>
  <c r="Y43" i="24"/>
  <c r="Y188" i="24"/>
  <c r="Y158" i="24"/>
  <c r="Y145" i="24"/>
  <c r="Y136" i="24"/>
  <c r="Y131" i="24"/>
  <c r="Y108" i="24"/>
  <c r="Y86" i="24"/>
  <c r="Y69" i="24"/>
  <c r="Y64" i="24"/>
  <c r="Y59" i="24"/>
  <c r="Y36" i="24"/>
  <c r="Y32" i="24"/>
  <c r="Y27" i="24"/>
  <c r="Y22" i="24"/>
  <c r="X97" i="24"/>
  <c r="X188" i="24"/>
  <c r="X166" i="24"/>
  <c r="X158" i="24"/>
  <c r="X145" i="24"/>
  <c r="X136" i="24"/>
  <c r="X131" i="24"/>
  <c r="X108" i="24"/>
  <c r="X86" i="24"/>
  <c r="X69" i="24"/>
  <c r="X64" i="24"/>
  <c r="X59" i="24"/>
  <c r="X43" i="24"/>
  <c r="X36" i="24"/>
  <c r="X32" i="24"/>
  <c r="X27" i="24"/>
  <c r="X22" i="24"/>
  <c r="X7" i="24"/>
  <c r="X2" i="24"/>
  <c r="W188" i="24"/>
  <c r="W166" i="24"/>
  <c r="W158" i="24"/>
  <c r="W145" i="24"/>
  <c r="W136" i="24"/>
  <c r="W131" i="24"/>
  <c r="W108" i="24"/>
  <c r="W97" i="24"/>
  <c r="W86" i="24"/>
  <c r="W69" i="24"/>
  <c r="W64" i="24"/>
  <c r="W59" i="24"/>
  <c r="W43" i="24"/>
  <c r="W36" i="24"/>
  <c r="W32" i="24"/>
  <c r="W27" i="24"/>
  <c r="W22" i="24"/>
  <c r="W7" i="24"/>
  <c r="W2" i="24"/>
  <c r="Q69" i="24"/>
  <c r="Q27" i="24"/>
  <c r="Q166" i="24"/>
  <c r="Q158" i="24"/>
  <c r="Q136" i="24"/>
  <c r="Q64" i="24"/>
  <c r="Q43" i="24"/>
  <c r="Q200" i="24"/>
  <c r="Q188" i="24"/>
  <c r="Q145" i="24"/>
  <c r="Q131" i="24"/>
  <c r="Q108" i="24"/>
  <c r="Q97" i="24"/>
  <c r="Q86" i="24"/>
  <c r="Q59" i="24"/>
  <c r="Q36" i="24"/>
  <c r="Q32" i="24"/>
  <c r="Q22" i="24"/>
  <c r="Q7" i="24"/>
  <c r="Q2" i="24"/>
  <c r="P136" i="24"/>
  <c r="P7" i="24"/>
  <c r="P200" i="24"/>
  <c r="P188" i="24"/>
  <c r="P166" i="24"/>
  <c r="P158" i="24"/>
  <c r="P145" i="24"/>
  <c r="P131" i="24"/>
  <c r="P108" i="24"/>
  <c r="P97" i="24"/>
  <c r="P86" i="24"/>
  <c r="P69" i="24"/>
  <c r="P64" i="24"/>
  <c r="P59" i="24"/>
  <c r="P43" i="24"/>
  <c r="P36" i="24"/>
  <c r="P32" i="24"/>
  <c r="P27" i="24"/>
  <c r="P22" i="24"/>
  <c r="P2" i="24"/>
  <c r="O136" i="24"/>
  <c r="O158" i="24"/>
  <c r="O200" i="24"/>
  <c r="O188" i="24"/>
  <c r="O166" i="24"/>
  <c r="O145" i="24"/>
  <c r="O131" i="24"/>
  <c r="O108" i="24"/>
  <c r="O97" i="24"/>
  <c r="O86" i="24"/>
  <c r="O69" i="24"/>
  <c r="O64" i="24"/>
  <c r="O59" i="24"/>
  <c r="O43" i="24"/>
  <c r="O36" i="24"/>
  <c r="O32" i="24"/>
  <c r="O27" i="24"/>
  <c r="O22" i="24"/>
  <c r="O7" i="24"/>
  <c r="O2" i="24"/>
  <c r="E2" i="24"/>
  <c r="F2" i="24"/>
  <c r="E3" i="24"/>
  <c r="F3" i="24"/>
  <c r="E4" i="24"/>
  <c r="F4" i="24"/>
  <c r="E5" i="24"/>
  <c r="F5" i="24"/>
  <c r="E7" i="24"/>
  <c r="F7" i="24"/>
  <c r="E8" i="24"/>
  <c r="F8" i="24"/>
  <c r="F10" i="24"/>
  <c r="F11" i="24"/>
  <c r="F12" i="24"/>
  <c r="E13" i="24"/>
  <c r="F13" i="24"/>
  <c r="E14" i="24"/>
  <c r="F14" i="24"/>
  <c r="E15" i="24"/>
  <c r="F15" i="24"/>
  <c r="E16" i="24"/>
  <c r="F16" i="24"/>
  <c r="E17" i="24"/>
  <c r="F17" i="24"/>
  <c r="E18" i="24"/>
  <c r="F18" i="24"/>
  <c r="E19" i="24"/>
  <c r="F19" i="24"/>
  <c r="E20" i="24"/>
  <c r="F20" i="24"/>
  <c r="E22" i="24"/>
  <c r="F22" i="24"/>
  <c r="E23" i="24"/>
  <c r="F23" i="24"/>
  <c r="E24" i="24"/>
  <c r="F24" i="24"/>
  <c r="E25" i="24"/>
  <c r="F25" i="24"/>
  <c r="E27" i="24"/>
  <c r="F27" i="24"/>
  <c r="E28" i="24"/>
  <c r="F28" i="24"/>
  <c r="E29" i="24"/>
  <c r="F29" i="24"/>
  <c r="E30" i="24"/>
  <c r="F30" i="24"/>
  <c r="E32" i="24"/>
  <c r="F32" i="24"/>
  <c r="E33" i="24"/>
  <c r="F33" i="24"/>
  <c r="E34" i="24"/>
  <c r="F34" i="24"/>
  <c r="E37" i="24"/>
  <c r="F37" i="24"/>
  <c r="E38" i="24"/>
  <c r="F38" i="24"/>
  <c r="E39" i="24"/>
  <c r="F39" i="24"/>
  <c r="E40" i="24"/>
  <c r="F40" i="24"/>
  <c r="E41" i="24"/>
  <c r="E36" i="24"/>
  <c r="F36" i="24"/>
  <c r="E43" i="24"/>
  <c r="F43" i="24"/>
  <c r="E44" i="24"/>
  <c r="F44" i="24"/>
  <c r="E45" i="24"/>
  <c r="F45" i="24"/>
  <c r="E46" i="24"/>
  <c r="F46" i="24"/>
  <c r="E47" i="24"/>
  <c r="F47" i="24"/>
  <c r="E48" i="24"/>
  <c r="F48" i="24"/>
  <c r="E49" i="24"/>
  <c r="F49" i="24"/>
  <c r="E50" i="24"/>
  <c r="F50" i="24"/>
  <c r="E51" i="24"/>
  <c r="F51" i="24"/>
  <c r="E52" i="24"/>
  <c r="F52" i="24"/>
  <c r="E53" i="24"/>
  <c r="F53" i="24"/>
  <c r="E54" i="24"/>
  <c r="F54" i="24"/>
  <c r="E55" i="24"/>
  <c r="F55" i="24"/>
  <c r="E56" i="24"/>
  <c r="F56" i="24"/>
  <c r="E57" i="24"/>
  <c r="F57" i="24"/>
  <c r="E59" i="24"/>
  <c r="F59" i="24"/>
  <c r="E60" i="24"/>
  <c r="F60" i="24"/>
  <c r="E61" i="24"/>
  <c r="F61" i="24"/>
  <c r="E62" i="24"/>
  <c r="F62" i="24"/>
  <c r="E64" i="24"/>
  <c r="F64" i="24"/>
  <c r="E65" i="24"/>
  <c r="F65" i="24"/>
  <c r="E66" i="24"/>
  <c r="F66" i="24"/>
  <c r="E67" i="24"/>
  <c r="F67" i="24"/>
  <c r="E78" i="24"/>
  <c r="F78" i="24"/>
  <c r="E79" i="24"/>
  <c r="F79" i="24"/>
  <c r="E83" i="24"/>
  <c r="E80" i="24"/>
  <c r="F80" i="24"/>
  <c r="E81" i="24"/>
  <c r="F81" i="24"/>
  <c r="F69" i="24"/>
  <c r="F75" i="24"/>
  <c r="E76" i="24"/>
  <c r="F76" i="24"/>
  <c r="E77" i="24"/>
  <c r="F77" i="24"/>
  <c r="E74" i="24"/>
  <c r="F74" i="24"/>
  <c r="E70" i="24"/>
  <c r="F70" i="24"/>
  <c r="E71" i="24"/>
  <c r="F71" i="24"/>
  <c r="E84" i="24"/>
  <c r="E72" i="24"/>
  <c r="F72" i="24"/>
  <c r="E73" i="24"/>
  <c r="F73" i="24"/>
  <c r="E88" i="24"/>
  <c r="E89" i="24"/>
  <c r="F89" i="24"/>
  <c r="E90" i="24"/>
  <c r="F90" i="24"/>
  <c r="F93" i="24"/>
  <c r="E94" i="24"/>
  <c r="F94" i="24"/>
  <c r="E95" i="24"/>
  <c r="F95" i="24"/>
  <c r="E97" i="24"/>
  <c r="F97" i="24"/>
  <c r="E105" i="24"/>
  <c r="E106" i="24"/>
  <c r="E104" i="24"/>
  <c r="F104" i="24"/>
  <c r="E98" i="24"/>
  <c r="F98" i="24"/>
  <c r="E99" i="24"/>
  <c r="F99" i="24"/>
  <c r="E100" i="24"/>
  <c r="F100" i="24"/>
  <c r="E101" i="24"/>
  <c r="F101" i="24"/>
  <c r="E103" i="24"/>
  <c r="F103" i="24"/>
  <c r="E102" i="24"/>
  <c r="F102" i="24"/>
  <c r="E108" i="24"/>
  <c r="F108" i="24"/>
  <c r="E109" i="24"/>
  <c r="F109" i="24"/>
  <c r="E110" i="24"/>
  <c r="F110" i="24"/>
  <c r="E111" i="24"/>
  <c r="F111" i="24"/>
  <c r="E112" i="24"/>
  <c r="F112" i="24"/>
  <c r="E113" i="24"/>
  <c r="F113" i="24"/>
  <c r="E114" i="24"/>
  <c r="F114" i="24"/>
  <c r="E115" i="24"/>
  <c r="F115" i="24"/>
  <c r="E116" i="24"/>
  <c r="F116" i="24"/>
  <c r="E117" i="24"/>
  <c r="F117" i="24"/>
  <c r="E118" i="24"/>
  <c r="F118" i="24"/>
  <c r="E119" i="24"/>
  <c r="F119" i="24"/>
  <c r="E120" i="24"/>
  <c r="F120" i="24"/>
  <c r="E122" i="24"/>
  <c r="F122" i="24"/>
  <c r="E123" i="24"/>
  <c r="F123" i="24"/>
  <c r="E124" i="24"/>
  <c r="F124" i="24"/>
  <c r="E125" i="24"/>
  <c r="F125" i="24"/>
  <c r="E126" i="24"/>
  <c r="F126" i="24"/>
  <c r="E128" i="24"/>
  <c r="F128" i="24"/>
  <c r="E129" i="24"/>
  <c r="F129" i="24"/>
  <c r="E131" i="24"/>
  <c r="F131" i="24"/>
  <c r="E132" i="24"/>
  <c r="F132" i="24"/>
  <c r="E133" i="24"/>
  <c r="F133" i="24"/>
  <c r="E134" i="24"/>
  <c r="F134" i="24"/>
  <c r="E142" i="24"/>
  <c r="F142" i="24"/>
  <c r="E141" i="24"/>
  <c r="F141" i="24"/>
  <c r="E137" i="24"/>
  <c r="F137" i="24"/>
  <c r="E140" i="24"/>
  <c r="F140" i="24"/>
  <c r="E138" i="24"/>
  <c r="F138" i="24"/>
  <c r="E139" i="24"/>
  <c r="F139" i="24"/>
  <c r="E136" i="24"/>
  <c r="F136" i="24"/>
  <c r="E145" i="24"/>
  <c r="F145" i="24"/>
  <c r="E146" i="24"/>
  <c r="F146" i="24"/>
  <c r="E147" i="24"/>
  <c r="F147" i="24"/>
  <c r="E148" i="24"/>
  <c r="F148" i="24"/>
  <c r="E149" i="24"/>
  <c r="F149" i="24"/>
  <c r="E150" i="24"/>
  <c r="F150" i="24"/>
  <c r="E151" i="24"/>
  <c r="F151" i="24"/>
  <c r="E152" i="24"/>
  <c r="F152" i="24"/>
  <c r="E153" i="24"/>
  <c r="F153" i="24"/>
  <c r="E154" i="24"/>
  <c r="F154" i="24"/>
  <c r="E155" i="24"/>
  <c r="F155" i="24"/>
  <c r="E156" i="24"/>
  <c r="F156" i="24"/>
  <c r="E163" i="24"/>
  <c r="F163" i="24"/>
  <c r="E160" i="24"/>
  <c r="F160" i="24"/>
  <c r="E161" i="24"/>
  <c r="F161" i="24"/>
  <c r="E158" i="24"/>
  <c r="F158" i="24"/>
  <c r="E159" i="24"/>
  <c r="F159" i="24"/>
  <c r="E162" i="24"/>
  <c r="F162" i="24"/>
  <c r="E166" i="24"/>
  <c r="E175" i="24"/>
  <c r="F175" i="24"/>
  <c r="E176" i="24"/>
  <c r="F176" i="24"/>
  <c r="E179" i="24"/>
  <c r="F179" i="24"/>
  <c r="E177" i="24"/>
  <c r="F177" i="24"/>
  <c r="F181" i="24"/>
  <c r="F182" i="24"/>
  <c r="E171" i="24"/>
  <c r="F171" i="24"/>
  <c r="E178" i="24"/>
  <c r="F178" i="24"/>
  <c r="E172" i="24"/>
  <c r="F172" i="24"/>
  <c r="E167" i="24"/>
  <c r="F167" i="24"/>
  <c r="E184" i="24"/>
  <c r="F184" i="24"/>
  <c r="E168" i="24"/>
  <c r="F168" i="24"/>
  <c r="E173" i="24"/>
  <c r="F173" i="24"/>
  <c r="E185" i="24"/>
  <c r="F185" i="24"/>
  <c r="E186" i="24"/>
  <c r="F186" i="24"/>
  <c r="E169" i="24"/>
  <c r="F169" i="24"/>
  <c r="E170" i="24"/>
  <c r="F170" i="24"/>
  <c r="E174" i="24"/>
  <c r="F174" i="24"/>
  <c r="E188" i="24"/>
  <c r="F188" i="24"/>
  <c r="E189" i="24"/>
  <c r="F189" i="24"/>
  <c r="E190" i="24"/>
  <c r="F190" i="24"/>
  <c r="F192" i="24"/>
  <c r="E193" i="24"/>
  <c r="F193" i="24"/>
  <c r="E194" i="24"/>
  <c r="F194" i="24"/>
  <c r="E195" i="24"/>
  <c r="F195" i="24"/>
  <c r="E196" i="24"/>
  <c r="F196" i="24"/>
  <c r="E197" i="24"/>
  <c r="F197" i="24"/>
  <c r="E198" i="24"/>
  <c r="F198" i="24"/>
  <c r="E207" i="24"/>
  <c r="F207" i="24"/>
  <c r="E202" i="24"/>
  <c r="F202" i="24"/>
  <c r="E201" i="24"/>
  <c r="F201" i="24"/>
  <c r="E200" i="24"/>
  <c r="F200" i="24"/>
  <c r="E203" i="24"/>
  <c r="F203" i="24"/>
  <c r="E208" i="24"/>
  <c r="F208" i="24"/>
  <c r="E209" i="24"/>
  <c r="F209" i="24"/>
  <c r="E206" i="24"/>
  <c r="F206" i="24"/>
  <c r="E210" i="24"/>
  <c r="F210" i="24"/>
  <c r="E211" i="24"/>
  <c r="F211" i="24"/>
  <c r="E204" i="24"/>
  <c r="F204" i="24"/>
  <c r="E205" i="24"/>
  <c r="F205" i="24"/>
  <c r="I36" i="24" l="1"/>
  <c r="G59" i="24"/>
  <c r="G36" i="24"/>
  <c r="I86" i="24"/>
  <c r="G97" i="24"/>
  <c r="G69" i="24"/>
  <c r="H97" i="24"/>
  <c r="I32" i="24"/>
  <c r="G43" i="24"/>
  <c r="I7" i="24"/>
  <c r="I43" i="24"/>
  <c r="I27" i="24"/>
  <c r="G27" i="24"/>
  <c r="G7" i="24"/>
  <c r="I69" i="24"/>
  <c r="I59" i="24"/>
  <c r="I97" i="24"/>
  <c r="I22" i="24"/>
  <c r="G86" i="24"/>
  <c r="H86" i="24"/>
  <c r="G158" i="24"/>
  <c r="I108" i="24"/>
  <c r="H69" i="24"/>
  <c r="I158" i="24"/>
  <c r="I145" i="24"/>
  <c r="I136" i="24"/>
  <c r="H36" i="24"/>
  <c r="I131" i="24"/>
  <c r="G136" i="24"/>
  <c r="G145" i="24"/>
  <c r="G200" i="24"/>
  <c r="I188" i="24"/>
  <c r="H158" i="24"/>
  <c r="I166" i="24"/>
  <c r="H136" i="24"/>
  <c r="H200" i="24"/>
  <c r="I200" i="24"/>
  <c r="I2" i="24"/>
  <c r="G166" i="24"/>
  <c r="H108" i="24"/>
  <c r="G108" i="24"/>
  <c r="G131" i="24"/>
  <c r="H131" i="24"/>
  <c r="H145" i="24"/>
  <c r="H59" i="24"/>
  <c r="G64" i="24"/>
  <c r="H43" i="24"/>
  <c r="G188" i="24"/>
  <c r="H188" i="24"/>
  <c r="H64" i="24"/>
  <c r="H166" i="24"/>
  <c r="H32" i="24"/>
  <c r="G32" i="24"/>
  <c r="G22" i="24"/>
  <c r="H7" i="24"/>
  <c r="H22" i="24"/>
  <c r="H27" i="24"/>
  <c r="H2" i="24"/>
  <c r="G2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Leclerc</author>
  </authors>
  <commentList>
    <comment ref="V1" authorId="0" shapeId="0" xr:uid="{AFB7B32C-E510-41B0-B103-F012BB3F108A}">
      <text>
        <r>
          <rPr>
            <sz val="9"/>
            <color indexed="81"/>
            <rFont val="Tahoma"/>
            <family val="2"/>
          </rPr>
          <t>Not needed after synthesis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Leclerc</author>
  </authors>
  <commentList>
    <comment ref="W1" authorId="0" shapeId="0" xr:uid="{F3AA7242-ECC5-4233-946C-2943950732E4}">
      <text>
        <r>
          <rPr>
            <sz val="9"/>
            <color indexed="81"/>
            <rFont val="Tahoma"/>
            <family val="2"/>
          </rPr>
          <t>Not needed after synthesis</t>
        </r>
      </text>
    </comment>
  </commentList>
</comments>
</file>

<file path=xl/sharedStrings.xml><?xml version="1.0" encoding="utf-8"?>
<sst xmlns="http://schemas.openxmlformats.org/spreadsheetml/2006/main" count="15899" uniqueCount="1254">
  <si>
    <t>ID</t>
  </si>
  <si>
    <t>Ref</t>
  </si>
  <si>
    <t>F/B</t>
  </si>
  <si>
    <t>Title</t>
  </si>
  <si>
    <t>Domain</t>
  </si>
  <si>
    <t>Application</t>
  </si>
  <si>
    <t>Bandwidth</t>
  </si>
  <si>
    <t>Throughput</t>
  </si>
  <si>
    <t>Latency</t>
  </si>
  <si>
    <t>Maximum Air Interface Packet Delay</t>
  </si>
  <si>
    <t>Jitter</t>
  </si>
  <si>
    <t>Packet Loss Rate</t>
  </si>
  <si>
    <t>Packet Error Rate</t>
  </si>
  <si>
    <t>Reliability</t>
  </si>
  <si>
    <t>Range</t>
  </si>
  <si>
    <t>Scale</t>
  </si>
  <si>
    <t>Synchronization Accuracy</t>
  </si>
  <si>
    <t>Predictability</t>
  </si>
  <si>
    <t>Wireless Communication</t>
  </si>
  <si>
    <t>Communication Direction</t>
  </si>
  <si>
    <t>Priority</t>
  </si>
  <si>
    <t>\cite{1}</t>
  </si>
  <si>
    <t>B</t>
  </si>
  <si>
    <t>Comparing Wi-Fi 6 and 5G Downlink Performance for Industrial IoT</t>
  </si>
  <si>
    <t>TABLE 1</t>
  </si>
  <si>
    <t>Motion Control</t>
  </si>
  <si>
    <t>50 B</t>
  </si>
  <si>
    <t>N/A</t>
  </si>
  <si>
    <t>Poisson</t>
  </si>
  <si>
    <t>1 ms</t>
  </si>
  <si>
    <t>99.999%</t>
  </si>
  <si>
    <t>4 ms</t>
  </si>
  <si>
    <t>Robotic Control</t>
  </si>
  <si>
    <t>10 ms</t>
  </si>
  <si>
    <t>Asset/Process Monitoring or Autonomous AGVs</t>
  </si>
  <si>
    <t>100 ms</t>
  </si>
  <si>
    <t>\cite{2}</t>
  </si>
  <si>
    <t>Investigating messaging protocols for the Internet of Things (IoT)</t>
  </si>
  <si>
    <t>TABLE 2</t>
  </si>
  <si>
    <t>Industry Automation</t>
  </si>
  <si>
    <t>10 - 50 m</t>
  </si>
  <si>
    <t>Smart Metering</t>
  </si>
  <si>
    <t>15-40 km</t>
  </si>
  <si>
    <t>Smart Buildings</t>
  </si>
  <si>
    <t>10-250 m</t>
  </si>
  <si>
    <t>Asset Tracking</t>
  </si>
  <si>
    <t>50-500 m</t>
  </si>
  <si>
    <t>Smart Energy</t>
  </si>
  <si>
    <t>0.1-15 km</t>
  </si>
  <si>
    <t>Environmental Monitoring</t>
  </si>
  <si>
    <t>0.1-1.5 km</t>
  </si>
  <si>
    <t>Health Monitoring</t>
  </si>
  <si>
    <t>10-25 m</t>
  </si>
  <si>
    <t>Wearable &amp; Fitness</t>
  </si>
  <si>
    <t>30-50 m</t>
  </si>
  <si>
    <t>Consumer Electronics</t>
  </si>
  <si>
    <t>\cite{3}</t>
  </si>
  <si>
    <t>F</t>
  </si>
  <si>
    <t>A survey of 802.15.4 TSCH schedulers for a standardized Industrial Internet of Things</t>
  </si>
  <si>
    <t>Table 1</t>
  </si>
  <si>
    <t>s-days</t>
  </si>
  <si>
    <t>ms-s</t>
  </si>
  <si>
    <t>&gt;10^-9</t>
  </si>
  <si>
    <t>10-100 m</t>
  </si>
  <si>
    <t>&lt;250 ms</t>
  </si>
  <si>
    <t>ms</t>
  </si>
  <si>
    <t>10^-9</t>
  </si>
  <si>
    <t>0.5-5 ms</t>
  </si>
  <si>
    <t>0.1-2.5 ms</t>
  </si>
  <si>
    <t>1-20 μs</t>
  </si>
  <si>
    <t>\cite{4}</t>
  </si>
  <si>
    <t>Intelligent and low overhead network synchronization for large-scale industrial IoT systems in the 6G era</t>
  </si>
  <si>
    <t>Large-scale IIoT, Wireless Sensor Actuator Network</t>
  </si>
  <si>
    <t>Industrial automation in Motion control</t>
  </si>
  <si>
    <t>Sub-microsecond</t>
  </si>
  <si>
    <t>Large-scale IIoT, Smart Supply Chain</t>
  </si>
  <si>
    <t>Localization and tracking in Vehicular communication</t>
  </si>
  <si>
    <t>Large-scale IIoT, Advanced Automation Line</t>
  </si>
  <si>
    <t>Localization and tracking in Object tracking</t>
  </si>
  <si>
    <t>Multi-agent cooperation in UAV swarm</t>
  </si>
  <si>
    <t>Microsecond</t>
  </si>
  <si>
    <t>Multi-agent cooperation in Collaborative robots</t>
  </si>
  <si>
    <t>Multi-agent cooperation in Vehicle positioning</t>
  </si>
  <si>
    <t>Tens of microseconds</t>
  </si>
  <si>
    <t>Data fusion in Emergency actions</t>
  </si>
  <si>
    <t>Data fusion in Real-time fault detection</t>
  </si>
  <si>
    <t>Data fusion in Environment monitoring</t>
  </si>
  <si>
    <t>Sub-millisecond</t>
  </si>
  <si>
    <t>Large-scale IIoT, Advanced Manufacturing Systems</t>
  </si>
  <si>
    <t>Fault protection in Smart grid</t>
  </si>
  <si>
    <t>Fault protection in Assembly line protection</t>
  </si>
  <si>
    <t>Remote monitoring in Structure health monitoring</t>
  </si>
  <si>
    <t>Millisecond</t>
  </si>
  <si>
    <t>Smart logistics in Warehouse management</t>
  </si>
  <si>
    <t>Flexible</t>
  </si>
  <si>
    <t>Smart logistics in Supply chain</t>
  </si>
  <si>
    <t>\cite{5}</t>
  </si>
  <si>
    <t>Real-time performance of industrial IoT communication technologies: A review</t>
  </si>
  <si>
    <t>TABLE I</t>
  </si>
  <si>
    <t>Autonomous Vehicles &amp; Mobile Robots</t>
  </si>
  <si>
    <t>variable</t>
  </si>
  <si>
    <t>medium</t>
  </si>
  <si>
    <t>high</t>
  </si>
  <si>
    <t>essential</t>
  </si>
  <si>
    <t>Remote Control of Machines</t>
  </si>
  <si>
    <t>low</t>
  </si>
  <si>
    <t>not necessary</t>
  </si>
  <si>
    <t>Sensor Data Analysis &amp; Monitoring</t>
  </si>
  <si>
    <t>not relevant</t>
  </si>
  <si>
    <t>Worker Safety &amp; Hazard Protection</t>
  </si>
  <si>
    <t>Task Offloading</t>
  </si>
  <si>
    <t>Industrial Wearable Systems &amp; Augmented Reality</t>
  </si>
  <si>
    <t>\cite{6}</t>
  </si>
  <si>
    <t>Strategies for assuring low latency scalability and interoperability in edge computing and TSN networks for critical IIoT services</t>
  </si>
  <si>
    <t>Medicine</t>
  </si>
  <si>
    <t>Tele-Surgery</t>
  </si>
  <si>
    <t>3–10 ms</t>
  </si>
  <si>
    <t>&lt;2 ms</t>
  </si>
  <si>
    <t>Industry</t>
  </si>
  <si>
    <t>Automatized Industry</t>
  </si>
  <si>
    <t>0.2-0.5 µs</t>
  </si>
  <si>
    <t>Control Systems</t>
  </si>
  <si>
    <t>0.025-2 ms</t>
  </si>
  <si>
    <t>some µs</t>
  </si>
  <si>
    <t>Banking</t>
  </si>
  <si>
    <t>High-frequency Transactions</t>
  </si>
  <si>
    <t>&lt;1 ms</t>
  </si>
  <si>
    <t>Aerial</t>
  </si>
  <si>
    <t>Avionics Full-Duplex Switched Ethernet</t>
  </si>
  <si>
    <t>1–128 ms</t>
  </si>
  <si>
    <t>Automotive</t>
  </si>
  <si>
    <t>Driving Assistance</t>
  </si>
  <si>
    <t>100–250 µs</t>
  </si>
  <si>
    <t>Power-train Motor</t>
  </si>
  <si>
    <t>&lt;10 ms</t>
  </si>
  <si>
    <t>Traffic and Security</t>
  </si>
  <si>
    <t>&lt;5 ms</t>
  </si>
  <si>
    <t>Digital entertainment</t>
  </si>
  <si>
    <t>Augmented Reality</t>
  </si>
  <si>
    <t>7–20 ms</t>
  </si>
  <si>
    <t>Professional Audio/Video</t>
  </si>
  <si>
    <t>2–50 ms</t>
  </si>
  <si>
    <t>&lt;100 ms</t>
  </si>
  <si>
    <t>\cite{7}</t>
  </si>
  <si>
    <t>The computing continuum: Past present and future</t>
  </si>
  <si>
    <t>Table 4</t>
  </si>
  <si>
    <t>Self-driving Vehicles</t>
  </si>
  <si>
    <t>1–10 Mbps</t>
  </si>
  <si>
    <t>99.9999999%</t>
  </si>
  <si>
    <t>Extended Reality (XR)</t>
  </si>
  <si>
    <t>&gt;1 Tbps</t>
  </si>
  <si>
    <t>99.99999%</t>
  </si>
  <si>
    <t>Holographic Streaming</t>
  </si>
  <si>
    <t>Tactile Internet</t>
  </si>
  <si>
    <t>1–100 Mbps</t>
  </si>
  <si>
    <t>1–10 ms</t>
  </si>
  <si>
    <t>Industrial IoT</t>
  </si>
  <si>
    <t>\cite{8}</t>
  </si>
  <si>
    <t>URLLC and eMBB in 5G industrial IoT: A survey</t>
  </si>
  <si>
    <t>TABLE 4</t>
  </si>
  <si>
    <t>Factories</t>
  </si>
  <si>
    <t>Printing</t>
  </si>
  <si>
    <t>1 Mbps</t>
  </si>
  <si>
    <t>2 ms</t>
  </si>
  <si>
    <t>Packaging Machines</t>
  </si>
  <si>
    <t>&lt;100 Mbps</t>
  </si>
  <si>
    <t>Machine Tools</t>
  </si>
  <si>
    <t>0.5 ms</t>
  </si>
  <si>
    <t>&lt;10</t>
  </si>
  <si>
    <t>Manufacturing</t>
  </si>
  <si>
    <t>5 ms</t>
  </si>
  <si>
    <t>Monitoring Automation</t>
  </si>
  <si>
    <t>50 ms</t>
  </si>
  <si>
    <t>10^-3–10^-5</t>
  </si>
  <si>
    <t>Remote Control</t>
  </si>
  <si>
    <t>Remotely Operated Video</t>
  </si>
  <si>
    <t>10–100 ms</t>
  </si>
  <si>
    <t>Industrial Robots</t>
  </si>
  <si>
    <t>4–8 ms</t>
  </si>
  <si>
    <t>Milling Machines</t>
  </si>
  <si>
    <t>Cranes</t>
  </si>
  <si>
    <t>12 ms</t>
  </si>
  <si>
    <t>Autonomous Vehicles</t>
  </si>
  <si>
    <t>Accidental Warnings</t>
  </si>
  <si>
    <t>0.1–29 Mbps</t>
  </si>
  <si>
    <t>High Speed Train</t>
  </si>
  <si>
    <t>25–50 Mbps</t>
  </si>
  <si>
    <t>12.5–25</t>
  </si>
  <si>
    <t>Automated Driving</t>
  </si>
  <si>
    <t>10^-5</t>
  </si>
  <si>
    <t>Drone</t>
  </si>
  <si>
    <t>20–40 Mbps</t>
  </si>
  <si>
    <t>150 ms</t>
  </si>
  <si>
    <t>10^-3</t>
  </si>
  <si>
    <t>Grid Stations</t>
  </si>
  <si>
    <t>Medium Electricity Distribution</t>
  </si>
  <si>
    <t>10 Mbps</t>
  </si>
  <si>
    <t>25 ms</t>
  </si>
  <si>
    <t>High Electricity Distribution</t>
  </si>
  <si>
    <t>10^-6</t>
  </si>
  <si>
    <t>Cities</t>
  </si>
  <si>
    <t>Outdoor Industrial Events</t>
  </si>
  <si>
    <t>30 Mbps</t>
  </si>
  <si>
    <t>1–2 ms</t>
  </si>
  <si>
    <t>10^-2</t>
  </si>
  <si>
    <t>Public Gatherings</t>
  </si>
  <si>
    <t>0.3–20 Mbps</t>
  </si>
  <si>
    <t>100–10000</t>
  </si>
  <si>
    <t>Shopping Centers</t>
  </si>
  <si>
    <t>60–300 Mbps</t>
  </si>
  <si>
    <t>Mass Communication</t>
  </si>
  <si>
    <t>15 Mbps</t>
  </si>
  <si>
    <t>200–5000 ms</t>
  </si>
  <si>
    <t>Urban Area</t>
  </si>
  <si>
    <t>Roadside Traffic Management</t>
  </si>
  <si>
    <t>Traffic Congestion</t>
  </si>
  <si>
    <t>20–100 Mbps</t>
  </si>
  <si>
    <t>8 ms</t>
  </si>
  <si>
    <t>Traffic Management Efficiency</t>
  </si>
  <si>
    <t>Urban Crossings</t>
  </si>
  <si>
    <t>Safety Measures for Highway</t>
  </si>
  <si>
    <t>Safety Measures for Urban Area</t>
  </si>
  <si>
    <t>\cite{9}</t>
  </si>
  <si>
    <t>BB</t>
  </si>
  <si>
    <t>Scheduling enhancements and performance evaluation of downlink 5G time-sensitive communications</t>
  </si>
  <si>
    <t>Motion Control (e.g., printing, tools or packaging)</t>
  </si>
  <si>
    <t>99.999% to 99.99999%</t>
  </si>
  <si>
    <t>20 (50 x 10 x 10 m)</t>
  </si>
  <si>
    <t>40 B</t>
  </si>
  <si>
    <t>99.9999% to 99.999999%</t>
  </si>
  <si>
    <t>50 (50 x 10 x 10 m)</t>
  </si>
  <si>
    <t>20 B</t>
  </si>
  <si>
    <t>100 (50 x 10 x 10 m)</t>
  </si>
  <si>
    <t>\cite{10}</t>
  </si>
  <si>
    <t>Survey on wireless technology trade-offs for the industrial Internet of Things</t>
  </si>
  <si>
    <t>Figure 3</t>
  </si>
  <si>
    <t>Safety Systems</t>
  </si>
  <si>
    <t>&gt;99 Mbps</t>
  </si>
  <si>
    <t>0.1 ms</t>
  </si>
  <si>
    <t>&gt;99%</t>
  </si>
  <si>
    <t>500 m</t>
  </si>
  <si>
    <t>&gt;50</t>
  </si>
  <si>
    <t>Closed Loop Regulatory Systems</t>
  </si>
  <si>
    <t>&gt;0.2 Mbps</t>
  </si>
  <si>
    <t>&gt;0.1 ms</t>
  </si>
  <si>
    <t>&gt;999 m</t>
  </si>
  <si>
    <t>&gt;500</t>
  </si>
  <si>
    <t>Closed Loop Supervisory Systems</t>
  </si>
  <si>
    <t>0.2 Mbps</t>
  </si>
  <si>
    <t>&gt;98%</t>
  </si>
  <si>
    <t>Open Loop Control Systems</t>
  </si>
  <si>
    <t>&gt;500 ms</t>
  </si>
  <si>
    <t>&gt;999</t>
  </si>
  <si>
    <t>Alerting Systems</t>
  </si>
  <si>
    <t>Information Gathering Systems</t>
  </si>
  <si>
    <t>&gt;999 ms</t>
  </si>
  <si>
    <t>Building Automation</t>
  </si>
  <si>
    <t>100 ms–seconds</t>
  </si>
  <si>
    <t>10–200 m</t>
  </si>
  <si>
    <t>Monitoring and Supervision</t>
  </si>
  <si>
    <t>seconds–days</t>
  </si>
  <si>
    <t>100–1000 m</t>
  </si>
  <si>
    <t>Process Control</t>
  </si>
  <si>
    <t>10–1000 ms</t>
  </si>
  <si>
    <t>50–500 m</t>
  </si>
  <si>
    <t>Factory Automation</t>
  </si>
  <si>
    <t>0.5–100 ms</t>
  </si>
  <si>
    <t>10–50 m</t>
  </si>
  <si>
    <t>1–100 ms</t>
  </si>
  <si>
    <t>1–10 m</t>
  </si>
  <si>
    <t>Interlocking and Control</t>
  </si>
  <si>
    <t>10–250 ms</t>
  </si>
  <si>
    <t>50–100 m</t>
  </si>
  <si>
    <t>Power-system Protection</t>
  </si>
  <si>
    <t>0.01 µs–50 ms</t>
  </si>
  <si>
    <t>100–10000 m</t>
  </si>
  <si>
    <t>Event-based Control</t>
  </si>
  <si>
    <t>10–100 m</t>
  </si>
  <si>
    <t>\cite{11}</t>
  </si>
  <si>
    <t>BF</t>
  </si>
  <si>
    <t xml:space="preserve">Towards a Software-Defined Industrial IoT-Edge Network for Next-Generation Offshore Wind Farms: State of the Art, Resilience, and Self-X Network and Service Management </t>
  </si>
  <si>
    <t>Protection Traffic</t>
  </si>
  <si>
    <t>0.615 Mbps</t>
  </si>
  <si>
    <t>&lt;10^-9</t>
  </si>
  <si>
    <t>Wind Turbine Generators (WTG) -&gt; virtual Protection, Automation, and Control (vPAC) node</t>
  </si>
  <si>
    <t>Analogue Measurements</t>
  </si>
  <si>
    <t>1.804 Mbps</t>
  </si>
  <si>
    <t>16 ms</t>
  </si>
  <si>
    <t>&lt;10^-6</t>
  </si>
  <si>
    <t>WTG -&gt; vPAC/Edge Computing Platform (ECP)</t>
  </si>
  <si>
    <t>Status Information</t>
  </si>
  <si>
    <t>0.00046 Mbps</t>
  </si>
  <si>
    <t>WTG -&gt; ECP</t>
  </si>
  <si>
    <t>Reporting and Logging</t>
  </si>
  <si>
    <t>0.000205 Mbps</t>
  </si>
  <si>
    <t>1 s</t>
  </si>
  <si>
    <t>Video Surveillance</t>
  </si>
  <si>
    <t>0.250–1.5 Mbps</t>
  </si>
  <si>
    <t>Control Traffic</t>
  </si>
  <si>
    <t>0.02 Mbps/Turbine</t>
  </si>
  <si>
    <t>vPAC -&gt; WTG</t>
  </si>
  <si>
    <t>Data Polling</t>
  </si>
  <si>
    <t>0.016 Mbps</t>
  </si>
  <si>
    <t>ECP/vPAC -&gt; WTG</t>
  </si>
  <si>
    <t>Internet Connection</t>
  </si>
  <si>
    <t>0.0016 Mbps</t>
  </si>
  <si>
    <t>60 min</t>
  </si>
  <si>
    <t>Internet -&gt; WTG/ECP/vPAC</t>
  </si>
  <si>
    <t>Functionality</t>
  </si>
  <si>
    <t>Compute</t>
  </si>
  <si>
    <t>Network</t>
  </si>
  <si>
    <t>Energy</t>
  </si>
  <si>
    <t>\cite{12}</t>
  </si>
  <si>
    <t>FB</t>
  </si>
  <si>
    <t>The computing continuum: From IoT to the cloud</t>
  </si>
  <si>
    <t>Table 10</t>
  </si>
  <si>
    <t>Municipality, Smart Traffic Management System, Parking</t>
  </si>
  <si>
    <t>Data Aggregation</t>
  </si>
  <si>
    <t>Low (Endpoint)</t>
  </si>
  <si>
    <t>&lt;2 ms / &gt;1 Gbps</t>
  </si>
  <si>
    <t>Low</t>
  </si>
  <si>
    <t>Parking Occupation</t>
  </si>
  <si>
    <t>Medium (Edge)</t>
  </si>
  <si>
    <t>&lt;12 ms / &gt;1 Gbps</t>
  </si>
  <si>
    <t>Rerouting</t>
  </si>
  <si>
    <t>High (Cloud)</t>
  </si>
  <si>
    <t>&lt;60 ms / &gt;100 Mbps</t>
  </si>
  <si>
    <t>Medium</t>
  </si>
  <si>
    <t>Visualization</t>
  </si>
  <si>
    <t>&lt;100 ms / &gt;100 Mbps</t>
  </si>
  <si>
    <t>High</t>
  </si>
  <si>
    <t>Class</t>
  </si>
  <si>
    <t>Reliability (%)</t>
  </si>
  <si>
    <t>Delay (ms)</t>
  </si>
  <si>
    <t>mMTC Apps.</t>
  </si>
  <si>
    <t>\cite{13}</t>
  </si>
  <si>
    <t>Towards enabling critical mMTC: A review of URLLC within mMTC</t>
  </si>
  <si>
    <t>Table 5</t>
  </si>
  <si>
    <t>99.9–99.99999</t>
  </si>
  <si>
    <t>Industry 4.0, Vehicles, Haptics</t>
  </si>
  <si>
    <t>10–50</t>
  </si>
  <si>
    <t>IIoT Automation/Orchestration</t>
  </si>
  <si>
    <t>99.9–99.999</t>
  </si>
  <si>
    <t>2–10</t>
  </si>
  <si>
    <t>Vehicles, AR/VR, Drones</t>
  </si>
  <si>
    <t>99.99999</t>
  </si>
  <si>
    <t>Autonomous Cars, Haptics</t>
  </si>
  <si>
    <t>99.999</t>
  </si>
  <si>
    <t>Vehicles, Haptics</t>
  </si>
  <si>
    <t>Vehicles, Internet of Drones</t>
  </si>
  <si>
    <t>AR/VR, Convoy of Drones</t>
  </si>
  <si>
    <t>0.5</t>
  </si>
  <si>
    <t>Cars, AR/VR, Drones</t>
  </si>
  <si>
    <t>mMTC Applications</t>
  </si>
  <si>
    <t>Cases</t>
  </si>
  <si>
    <t>Virtual Reality</t>
  </si>
  <si>
    <t>Haptics</t>
  </si>
  <si>
    <t>0.5–2</t>
  </si>
  <si>
    <t>Video</t>
  </si>
  <si>
    <t>&gt;99.999</t>
  </si>
  <si>
    <t>Immersive Reality</t>
  </si>
  <si>
    <t>3D-Audio</t>
  </si>
  <si>
    <t>99.9</t>
  </si>
  <si>
    <t>Industry 4.0</t>
  </si>
  <si>
    <t>Highly-dynamic: 0.5; Dynamic: 5; Fixed: 50</t>
  </si>
  <si>
    <t>Audio</t>
  </si>
  <si>
    <t>Life critical: 0.5; Dynamic: 5</t>
  </si>
  <si>
    <t>Sensor</t>
  </si>
  <si>
    <t>Dynamic: 5; Fixed: 50</t>
  </si>
  <si>
    <t>Convoy/Swarm of Drones</t>
  </si>
  <si>
    <t>Kinesthetic: 0.5; Tactile: 5</t>
  </si>
  <si>
    <t>1–5</t>
  </si>
  <si>
    <t>GPS</t>
  </si>
  <si>
    <t>Haptics Communication (Human Touch Feel)</t>
  </si>
  <si>
    <t>Interaction: 0.5; Observation: 5</t>
  </si>
  <si>
    <t>Dynamic: 1; Fixed: 5</t>
  </si>
  <si>
    <t>Use case</t>
  </si>
  <si>
    <t>e2e Latency</t>
  </si>
  <si>
    <t>Data packet size</t>
  </si>
  <si>
    <t>Traffic</t>
  </si>
  <si>
    <t>Smart city (Smart Metering, Waste Management, and Smart Parking)</t>
  </si>
  <si>
    <t>≤5 s</t>
  </si>
  <si>
    <t>Mostly ≤200 bytes</t>
  </si>
  <si>
    <t>Sporadic</t>
  </si>
  <si>
    <t>Public Safety</t>
  </si>
  <si>
    <t>Small to big</t>
  </si>
  <si>
    <t>Factory Automation (Motion Control)</t>
  </si>
  <si>
    <t>99.9999</t>
  </si>
  <si>
    <t>32 bytes</t>
  </si>
  <si>
    <t>Periodic deterministic</t>
  </si>
  <si>
    <t>Remote driving</t>
  </si>
  <si>
    <t>UL: 2.5 Mbps; Packet size 5220 bytes; DL: 1 Mbps; Packet size 2083 bytes</t>
  </si>
  <si>
    <t>Periodic</t>
  </si>
  <si>
    <t>Intelligent transport system</t>
  </si>
  <si>
    <t>UL&amp;DL: 1.1 Mbps; Packet size 1370 bytes</t>
  </si>
  <si>
    <t>5G</t>
  </si>
  <si>
    <t>Parameter</t>
  </si>
  <si>
    <t>Automated Guided Vehicles</t>
  </si>
  <si>
    <t>Video-Surveillance</t>
  </si>
  <si>
    <t>Quality Check</t>
  </si>
  <si>
    <t>\cite{14}</t>
  </si>
  <si>
    <t>Verticals in 5G MEC—use cases and security challenges</t>
  </si>
  <si>
    <t>Section III</t>
  </si>
  <si>
    <t>Multi-access Edge Computing for Manufacturing Industry</t>
  </si>
  <si>
    <t>Latency (packet sent-&gt;received)</t>
  </si>
  <si>
    <t>7 ms</t>
  </si>
  <si>
    <t>Reliability (service continuity)</t>
  </si>
  <si>
    <t>99.9999999</t>
  </si>
  <si>
    <t>Peak Data Rate</t>
  </si>
  <si>
    <t>0.1 Mb/s</t>
  </si>
  <si>
    <t>1–5 Mb/s per camera</t>
  </si>
  <si>
    <t>1 Gb/s</t>
  </si>
  <si>
    <t>Device Density (avg # devices for service per area)</t>
  </si>
  <si>
    <t>2000/km²</t>
  </si>
  <si>
    <t>500/km²</t>
  </si>
  <si>
    <t>50/km²</t>
  </si>
  <si>
    <t>100/km²</t>
  </si>
  <si>
    <t>Capacity (# connections at avg transmission per area, based on DD)</t>
  </si>
  <si>
    <t>1 Gb/s/km²</t>
  </si>
  <si>
    <t>0.05 Gb/s/km²</t>
  </si>
  <si>
    <t>0.5 Gb/s/km²</t>
  </si>
  <si>
    <t>10 Gb/s/km²</t>
  </si>
  <si>
    <t>Isolation Level (Crucial, Essential, Important, Not-Essential, Negligible, Not Applicable)</t>
  </si>
  <si>
    <t>NE</t>
  </si>
  <si>
    <t>I</t>
  </si>
  <si>
    <t>Trust To Multi-access Edge Computing (Critical, Essential, Important, Non-Essential, Negligible)</t>
  </si>
  <si>
    <t>C</t>
  </si>
  <si>
    <t>E</t>
  </si>
  <si>
    <t>Edge Computing Usage (Ability to handover calculation to MEC: Critical, Essential, Important, Non-Essential, Negligible)</t>
  </si>
  <si>
    <t>Availability (resilience (from disruption of service) and coverage (% of area with satisfied Quality of Experience)</t>
  </si>
  <si>
    <t>InterBank</t>
  </si>
  <si>
    <t>Mobile-to-Bank</t>
  </si>
  <si>
    <t>Mobile-to-Insurance</t>
  </si>
  <si>
    <t>Multi-access Edge Computing for Financial Sector</t>
  </si>
  <si>
    <t>99.999999</t>
  </si>
  <si>
    <t>99.99</t>
  </si>
  <si>
    <t>1 Mb/s</t>
  </si>
  <si>
    <t>10/km²</t>
  </si>
  <si>
    <t>1000/km²</t>
  </si>
  <si>
    <t>25 Gb/s/km²</t>
  </si>
  <si>
    <t>0.1 Gb/s/km²</t>
  </si>
  <si>
    <t>Smarter Medication</t>
  </si>
  <si>
    <t>Robotics (Wireless Tele-Surgery)</t>
  </si>
  <si>
    <t>Multi-access Edge Computing for Healthcare Sector</t>
  </si>
  <si>
    <t>5 Mb/s</t>
  </si>
  <si>
    <t>100 Mb/s</t>
  </si>
  <si>
    <t>1600 Mb/s</t>
  </si>
  <si>
    <t>5/km²</t>
  </si>
  <si>
    <t>1/km²</t>
  </si>
  <si>
    <t>Stationary shops (video content streaming)</t>
  </si>
  <si>
    <t>Smart Bags</t>
  </si>
  <si>
    <t>On-site Live Events</t>
  </si>
  <si>
    <t>Multi-access Edge Computing for Retail Sector</t>
  </si>
  <si>
    <t>95 (basic)</t>
  </si>
  <si>
    <t>99.5</t>
  </si>
  <si>
    <t>15 Mb/s</t>
  </si>
  <si>
    <t>10 Mb/s</t>
  </si>
  <si>
    <t>1000 Mb/s</t>
  </si>
  <si>
    <t>150,000 /km²</t>
  </si>
  <si>
    <t>1,000,000 /km²</t>
  </si>
  <si>
    <t>2250 Gb/s/km²</t>
  </si>
  <si>
    <t>1500 Gb/s/km²</t>
  </si>
  <si>
    <t>2 Gb/s/km² (2000 m² store)</t>
  </si>
  <si>
    <t>Mobile Virtual Network Enabler</t>
  </si>
  <si>
    <t>Full Mobile Virtual Network Operators</t>
  </si>
  <si>
    <t>Light Mobile Virtual Network Operators</t>
  </si>
  <si>
    <t>Multi-access Edge Computing for Telecommunications</t>
  </si>
  <si>
    <t>10 Gb/s</t>
  </si>
  <si>
    <t>1,000,000 Gb/s/km²</t>
  </si>
  <si>
    <t>Authority-to-Customer</t>
  </si>
  <si>
    <t>Authority-to-Business</t>
  </si>
  <si>
    <t>Authority-to-Authority</t>
  </si>
  <si>
    <t>Multi-access Edge Computing for Authorities</t>
  </si>
  <si>
    <t>200 ms</t>
  </si>
  <si>
    <t>500 ms</t>
  </si>
  <si>
    <t>300 ms</t>
  </si>
  <si>
    <t>0.1/km²</t>
  </si>
  <si>
    <t>Ultra High-Fidelity Media</t>
  </si>
  <si>
    <t>On-site Live Event Experience</t>
  </si>
  <si>
    <t>User &amp; Machine Generated Content</t>
  </si>
  <si>
    <t>Immersive and Integrated Media and Gaming</t>
  </si>
  <si>
    <t>Multi-access Edge Computing for Entertainment</t>
  </si>
  <si>
    <t>30 ms</t>
  </si>
  <si>
    <t>15 ms</t>
  </si>
  <si>
    <t>200 Mb/s</t>
  </si>
  <si>
    <t>30 Mb/s</t>
  </si>
  <si>
    <t>3000/km²</t>
  </si>
  <si>
    <t>750 Gb/s/km²</t>
  </si>
  <si>
    <t>Smart Grid</t>
  </si>
  <si>
    <t>Emergency situation management</t>
  </si>
  <si>
    <t>City surveillance</t>
  </si>
  <si>
    <t>Multi-access Edge Computing for Smart City</t>
  </si>
  <si>
    <t>200,000 /km²</t>
  </si>
  <si>
    <t>300,000 /km²</t>
  </si>
  <si>
    <t>50,000 /km² (1 CCTV camera per 20 m²)</t>
  </si>
  <si>
    <t>2000 Gb/s/km²</t>
  </si>
  <si>
    <t>3000 Gb/s/km²</t>
  </si>
  <si>
    <t>5000 Gb/s/km²</t>
  </si>
  <si>
    <t>Pest control, Irrigation, Fertilization, Air and Soil temperature sensors</t>
  </si>
  <si>
    <t>Still picture camera, Animal monitoring, Multi or hyper spectral camera, Acoustic sensors</t>
  </si>
  <si>
    <t>Video streaming cameras, Smart vehicles</t>
  </si>
  <si>
    <t>Drones, Remote control, Agribots</t>
  </si>
  <si>
    <t>Multi-access Edge Computing for Agriculture</t>
  </si>
  <si>
    <t>60 s</t>
  </si>
  <si>
    <t>10 s</t>
  </si>
  <si>
    <t>20 ms</t>
  </si>
  <si>
    <t>0.8 kb/s</t>
  </si>
  <si>
    <t>20 Mb/s</t>
  </si>
  <si>
    <t>10000/km²</t>
  </si>
  <si>
    <t>0.8 Mb/s/km²</t>
  </si>
  <si>
    <t>0.3 Gb/s/km²</t>
  </si>
  <si>
    <t>V2X communication</t>
  </si>
  <si>
    <t>Automated vehicles</t>
  </si>
  <si>
    <t>Automated logistics</t>
  </si>
  <si>
    <t>Multi-access Edge Computing for Logistics</t>
  </si>
  <si>
    <t>50 Mb/s</t>
  </si>
  <si>
    <t>up to 50,000/km² (cars in traffic jam, drones); more than 10,000/km²</t>
  </si>
  <si>
    <t>&lt;1000/km²</t>
  </si>
  <si>
    <t>2500 Gb/s/km²</t>
  </si>
  <si>
    <t>100 Gb/s/km²</t>
  </si>
  <si>
    <t>Tactile Internet &amp; Skillset communication</t>
  </si>
  <si>
    <t>Personalized Learning</t>
  </si>
  <si>
    <t>Walled-off, smart classroom</t>
  </si>
  <si>
    <t>VR/AR &amp; education</t>
  </si>
  <si>
    <t>Multi-access Edge Computing for Education, Culture, and Science</t>
  </si>
  <si>
    <t>100 /km²</t>
  </si>
  <si>
    <t>Critical support services</t>
  </si>
  <si>
    <t>Critical communication (emergency)</t>
  </si>
  <si>
    <t>High-speed wireless access</t>
  </si>
  <si>
    <t>UHD Broadcasting</t>
  </si>
  <si>
    <t>Public Safety Services</t>
  </si>
  <si>
    <t>Multi-access Edge Computing for Critical Infrastructure Sectors</t>
  </si>
  <si>
    <t>4 Mb/s</t>
  </si>
  <si>
    <t>1–10 Gb/s</t>
  </si>
  <si>
    <t>0.01/km²</t>
  </si>
  <si>
    <t>0.2 Gb/s/km²</t>
  </si>
  <si>
    <t>135 Gb/s/bowl</t>
  </si>
  <si>
    <t>30 Gb/s/km²</t>
  </si>
  <si>
    <t>Device Type</t>
  </si>
  <si>
    <t>Power Consumption</t>
  </si>
  <si>
    <t>Coverage Area</t>
  </si>
  <si>
    <t>Lifetime (years)</t>
  </si>
  <si>
    <t>\cite{15}</t>
  </si>
  <si>
    <t>FF</t>
  </si>
  <si>
    <t>Challenges and Opportunities in Healthcare and Industrial IoT: A Comparative Analysis</t>
  </si>
  <si>
    <t>Table I</t>
  </si>
  <si>
    <t>Smart Meter</t>
  </si>
  <si>
    <t>Wide</t>
  </si>
  <si>
    <t>10–15</t>
  </si>
  <si>
    <t>Environmental Monitor</t>
  </si>
  <si>
    <t>Very Low</t>
  </si>
  <si>
    <t>Rural/Urban</t>
  </si>
  <si>
    <t>10–20</t>
  </si>
  <si>
    <t>Wearable Health Tracker</t>
  </si>
  <si>
    <t>Short-Range</t>
  </si>
  <si>
    <t>5–10</t>
  </si>
  <si>
    <t>Remote Sensor (Agriculture)</t>
  </si>
  <si>
    <t>Wide (Rural)</t>
  </si>
  <si>
    <t>5–15</t>
  </si>
  <si>
    <t>URLLC USE CASES</t>
  </si>
  <si>
    <t>Latency Required (ms)</t>
  </si>
  <si>
    <t>Data Rate (Mbps)</t>
  </si>
  <si>
    <t>Table III</t>
  </si>
  <si>
    <t>Autonomous Vehicle</t>
  </si>
  <si>
    <t>&lt;1</t>
  </si>
  <si>
    <t>1–10</t>
  </si>
  <si>
    <t>Moderate</t>
  </si>
  <si>
    <t>Remote Surgery</t>
  </si>
  <si>
    <t>Real-Time Patient Monitoring</t>
  </si>
  <si>
    <t>Reliability (BER)</t>
  </si>
  <si>
    <t>\cite{16}</t>
  </si>
  <si>
    <t>Optimizing Spectral Utilization in Healthcare Internet of Things</t>
  </si>
  <si>
    <t>Healthcare Monitoring (Heart rate, stress levels, blood pressure)</t>
  </si>
  <si>
    <t>10^-4</t>
  </si>
  <si>
    <t>IIOT CONNECTIVITY REQUIREMENTS</t>
  </si>
  <si>
    <t>Applications</t>
  </si>
  <si>
    <t>Data Rate</t>
  </si>
  <si>
    <t>\cite{17}</t>
  </si>
  <si>
    <t>O-ran perspective on industrial internet of things: A swot analysis</t>
  </si>
  <si>
    <t>Monitoring</t>
  </si>
  <si>
    <t>≥99.9%</t>
  </si>
  <si>
    <t>≤100 ms</t>
  </si>
  <si>
    <t>0.1–0.5 Mb/s</t>
  </si>
  <si>
    <t>Control</t>
  </si>
  <si>
    <t>≥99.9999%</t>
  </si>
  <si>
    <t>≤2 ms</t>
  </si>
  <si>
    <t>1–5 Mb/s</t>
  </si>
  <si>
    <t>Long-Range Asset Tracking</t>
  </si>
  <si>
    <t>Dense Building Automation</t>
  </si>
  <si>
    <t>\cite{18}</t>
  </si>
  <si>
    <t>BBF</t>
  </si>
  <si>
    <t>Energy harvesting for wireless IoT use cases: A generic feasibility model and tradeoff study</t>
  </si>
  <si>
    <t>Table II</t>
  </si>
  <si>
    <t>&gt;1 s</t>
  </si>
  <si>
    <t>10 ms–1 s</t>
  </si>
  <si>
    <t>Transmission Interval</t>
  </si>
  <si>
    <t>15 min–24 h</t>
  </si>
  <si>
    <t>1 s–24 h</t>
  </si>
  <si>
    <t>Data Size</t>
  </si>
  <si>
    <t>4–40 B</t>
  </si>
  <si>
    <t>20–200 B</t>
  </si>
  <si>
    <t>Mobility</t>
  </si>
  <si>
    <t>Mobile</t>
  </si>
  <si>
    <t>Static</t>
  </si>
  <si>
    <t>Location</t>
  </si>
  <si>
    <t>Outdoor/Indoor</t>
  </si>
  <si>
    <t>Indoor</t>
  </si>
  <si>
    <t>SMART METROPOLITAN</t>
  </si>
  <si>
    <t>Use Case</t>
  </si>
  <si>
    <t>DL Bandwidth</t>
  </si>
  <si>
    <t>UL Bandwidth</t>
  </si>
  <si>
    <t>RTT</t>
  </si>
  <si>
    <t>Compute Power</t>
  </si>
  <si>
    <t>\cite{19}</t>
  </si>
  <si>
    <t>FBB</t>
  </si>
  <si>
    <t>Toward enabled industrial verticals in 5G: A survey on MEC-based approaches to provisioning and flexibility</t>
  </si>
  <si>
    <t>Table VI</t>
  </si>
  <si>
    <t>Vehicle Collisions Warning</t>
  </si>
  <si>
    <t>4 kbps</t>
  </si>
  <si>
    <t>70 kbps</t>
  </si>
  <si>
    <t>up to 43×10^6 cycles/task, minimum of 217600 tasks/s</t>
  </si>
  <si>
    <t>Video Streaming</t>
  </si>
  <si>
    <t>70 Mbps</t>
  </si>
  <si>
    <t>25 Mbps</t>
  </si>
  <si>
    <t>up to 1×10^9 cycles/task, minimum of 2176 tasks/s</t>
  </si>
  <si>
    <t>Smart Factories</t>
  </si>
  <si>
    <t>&gt;1 Mbps</t>
  </si>
  <si>
    <t>up to 1.936×10^9 cycles/task, minimum of 114 tasks/s</t>
  </si>
  <si>
    <t>AR/VR (4K 2D)</t>
  </si>
  <si>
    <t>100 Mbps</t>
  </si>
  <si>
    <t>6.45 Mbps</t>
  </si>
  <si>
    <t>up to 40×10^9 cycles/task, minimum of 6 tasks/s</t>
  </si>
  <si>
    <t>AR/VR (24K 3D)</t>
  </si>
  <si>
    <t>2–5 Gbps</t>
  </si>
  <si>
    <t>QOS REQUIREMENTS FOR INDUSTRIAL USE-CASES (as a representative of typical IIoT 5G network slice)</t>
  </si>
  <si>
    <t>Latency (ms)</t>
  </si>
  <si>
    <t>Packet Size (B)</t>
  </si>
  <si>
    <t>Priority Level</t>
  </si>
  <si>
    <t>\cite{20}</t>
  </si>
  <si>
    <t>FFB</t>
  </si>
  <si>
    <t>Elastic O-RAN slicing for industrial monitoring and control: A distributed matching game and deep reinforcement learning approach</t>
  </si>
  <si>
    <t>Emergency Systems and Action</t>
  </si>
  <si>
    <t>1–10^-6</t>
  </si>
  <si>
    <t>Scale Reading</t>
  </si>
  <si>
    <t>Mobile Robots</t>
  </si>
  <si>
    <t>&gt;&gt;1–10^-6</t>
  </si>
  <si>
    <t>Communication parameters for medical sensors.</t>
  </si>
  <si>
    <t>Sensor Node</t>
  </si>
  <si>
    <t>Sampling</t>
  </si>
  <si>
    <t>Nodes</t>
  </si>
  <si>
    <t>ADC</t>
  </si>
  <si>
    <t>Privacy Required</t>
  </si>
  <si>
    <t>\cite{21}</t>
  </si>
  <si>
    <t>Emerging wireless sensor networks and Internet of Things technologies—Foundations of smart healthcare</t>
  </si>
  <si>
    <t>Table 2</t>
  </si>
  <si>
    <t>Glucose Sensor</t>
  </si>
  <si>
    <t>&lt;1 kbps</t>
  </si>
  <si>
    <t>&lt;50 Hz</t>
  </si>
  <si>
    <t>-</t>
  </si>
  <si>
    <t>16-bit</t>
  </si>
  <si>
    <t>Extremely Low</t>
  </si>
  <si>
    <t>&lt;150 ms</t>
  </si>
  <si>
    <t>Pacemaker</t>
  </si>
  <si>
    <t>&lt;500 Hz</t>
  </si>
  <si>
    <t>12-bit</t>
  </si>
  <si>
    <t>Endoscope Capsule</t>
  </si>
  <si>
    <t>Cochlear Implant</t>
  </si>
  <si>
    <t>&lt;1 Mbps</t>
  </si>
  <si>
    <t>5, 12, 49 MHz</t>
  </si>
  <si>
    <t>ECG (12-channel)</t>
  </si>
  <si>
    <t>72 kbps</t>
  </si>
  <si>
    <t>&lt;6</t>
  </si>
  <si>
    <t>SpO2</t>
  </si>
  <si>
    <t>32 kbps</t>
  </si>
  <si>
    <t>Respiration</t>
  </si>
  <si>
    <t>&lt;10 kbps</t>
  </si>
  <si>
    <t>&lt;12</t>
  </si>
  <si>
    <t>Blood Pressure</t>
  </si>
  <si>
    <t>&lt;100 Hz</t>
  </si>
  <si>
    <t>EMG (12-channel)</t>
  </si>
  <si>
    <t>1.536 Mbps</t>
  </si>
  <si>
    <t>8 kHz</t>
  </si>
  <si>
    <t>Temperature</t>
  </si>
  <si>
    <t>Blood Flow Rate</t>
  </si>
  <si>
    <t>480 kbps</t>
  </si>
  <si>
    <t>&lt;40 Hz</t>
  </si>
  <si>
    <t>QOS REQUIREMENTS FOR INDUSTRIAL SLICES</t>
  </si>
  <si>
    <t>\cite{22}</t>
  </si>
  <si>
    <t>FFBB</t>
  </si>
  <si>
    <t>Online GMM Clustering and Mini-Batch Gradient Descent Based Optimization for Industrial IoT 4.0</t>
  </si>
  <si>
    <t>Slice Type</t>
  </si>
  <si>
    <t>Packet Size</t>
  </si>
  <si>
    <t>Priority (Urgency)</t>
  </si>
  <si>
    <t>Ultra-high Critical of Latency and Efficiency (UCLE)</t>
  </si>
  <si>
    <t>24 B</t>
  </si>
  <si>
    <t>Emergency action, safeguarding systems</t>
  </si>
  <si>
    <t>High Critical of Latency and Efficiency (HCLE)</t>
  </si>
  <si>
    <t>512 B</t>
  </si>
  <si>
    <t>Scale readings</t>
  </si>
  <si>
    <t>Low Critical of Latency and Efficiency (LCLE)</t>
  </si>
  <si>
    <t>250 B</t>
  </si>
  <si>
    <t>Standard mobile robot</t>
  </si>
  <si>
    <t>Cycle Time</t>
  </si>
  <si>
    <t>Industrial Automation Use-Cases</t>
  </si>
  <si>
    <t>Industrial Systems</t>
  </si>
  <si>
    <t>Scalability</t>
  </si>
  <si>
    <t>Service</t>
  </si>
  <si>
    <t>Data communication between the Wind Turbine Generators (WTG), the offshore hub-mounted pico datacenter components (ECP, vPAC), and the Internet</t>
  </si>
  <si>
    <t xml:space="preserve">Reliability and latency requirements of a few mMTC applications </t>
  </si>
  <si>
    <t>From 99.9 and &gt;99.999</t>
  </si>
  <si>
    <t>Much greater than 1–10^-6</t>
  </si>
  <si>
    <t>Payload</t>
  </si>
  <si>
    <t>Periodicity</t>
  </si>
  <si>
    <t>Availability</t>
  </si>
  <si>
    <t>UEs</t>
  </si>
  <si>
    <t>Ultra-Reliable Low Latency Communication (URLLC) and Enhanced Mobile Broadband (eMBB) based 5G/beyond 5G (B5G)-Industrial Internet of Things (IIoT) applications</t>
  </si>
  <si>
    <t>Cell Density (Gbps/km^2)</t>
  </si>
  <si>
    <t>Use Cases</t>
  </si>
  <si>
    <t>Smart Applications</t>
  </si>
  <si>
    <t>Latency Fluctuation</t>
  </si>
  <si>
    <t>Service Application</t>
  </si>
  <si>
    <t>Economic Sector</t>
  </si>
  <si>
    <t>Network requirements for industrial services</t>
  </si>
  <si>
    <t>Scenario Class</t>
  </si>
  <si>
    <t>Network and Real-Time requirements</t>
  </si>
  <si>
    <t>Automation Domain</t>
  </si>
  <si>
    <t>Communication requirements in the industrial automation domain</t>
  </si>
  <si>
    <t>50-1000</t>
  </si>
  <si>
    <t>&lt; 50</t>
  </si>
  <si>
    <t>Transmission Range</t>
  </si>
  <si>
    <t>Source</t>
  </si>
  <si>
    <t>Arrival Mode</t>
  </si>
  <si>
    <t>Minimum Reliability</t>
  </si>
  <si>
    <t>Collaborative Automated Guided Vehicles (AGVs)</t>
  </si>
  <si>
    <t>Case</t>
  </si>
  <si>
    <t>IoT Use Case</t>
  </si>
  <si>
    <t>Note</t>
  </si>
  <si>
    <t xml:space="preserve">Reliability and latency requirements of Massive Machine-Type Communication (mMTC) applications </t>
  </si>
  <si>
    <t>Ultra-Reliable Low Latency Communications (URLLC) Use Cases</t>
  </si>
  <si>
    <t>IIoT Connectivity Requirements</t>
  </si>
  <si>
    <t>Smart Metropolitan</t>
  </si>
  <si>
    <t>QoS Requirements for Industrial Use-Cases (as a representative of typical IIoT 5G network slice)</t>
  </si>
  <si>
    <t>Communication parameters for medical sensors</t>
  </si>
  <si>
    <t>QoS Requirements for Industrial Network Slices</t>
  </si>
  <si>
    <t>Healthcare</t>
  </si>
  <si>
    <t>Process</t>
  </si>
  <si>
    <t>Factory</t>
  </si>
  <si>
    <t>Closed-loop control</t>
  </si>
  <si>
    <t>Use-cases</t>
  </si>
  <si>
    <t>Device Density</t>
  </si>
  <si>
    <t>Capacity</t>
  </si>
  <si>
    <t>Isolation Level</t>
  </si>
  <si>
    <t>Trust To Multi-access Edge Computing</t>
  </si>
  <si>
    <t>Edge Computing Usage</t>
  </si>
  <si>
    <t>Original</t>
  </si>
  <si>
    <t>Application/Use Case</t>
  </si>
  <si>
    <t>Other</t>
  </si>
  <si>
    <t>Service/Function</t>
  </si>
  <si>
    <t>Smart Applications (Actually Domains)</t>
  </si>
  <si>
    <t>Sensor Node (Actually Applications)</t>
  </si>
  <si>
    <t>Class (Actually Applications)</t>
  </si>
  <si>
    <t>Coverage Area (Actually Range)</t>
  </si>
  <si>
    <t>DL Bandwidth, UL Bandwidth</t>
  </si>
  <si>
    <t>Not Relevant</t>
  </si>
  <si>
    <t>LEGEND:</t>
  </si>
  <si>
    <t>Latency, Latency Fluctuation</t>
  </si>
  <si>
    <t>Latency, Jitter</t>
  </si>
  <si>
    <t>Device Density, Capacity</t>
  </si>
  <si>
    <t>Reliability, Availability</t>
  </si>
  <si>
    <t>Data Rate, Sampling</t>
  </si>
  <si>
    <t>Reliability, Packet Loss Rate</t>
  </si>
  <si>
    <t>Power Consumption, Lifetime (years)</t>
  </si>
  <si>
    <t>Network (Data Rate)</t>
  </si>
  <si>
    <t>Network (Latency)</t>
  </si>
  <si>
    <t>Total: 6</t>
  </si>
  <si>
    <t>Application (Actually Domain)</t>
  </si>
  <si>
    <t>Applications (Actually Domains)</t>
  </si>
  <si>
    <t>Scenario Class (Mixed  Dom., Apps. &amp; Serv.)</t>
  </si>
  <si>
    <t>Functionality (Mixed  Dom., Apps. &amp; Serv.)</t>
  </si>
  <si>
    <t>Economic Sector (Actually Domains)</t>
  </si>
  <si>
    <t>Use Case (Mixed  Dom., Apps. &amp; Serv.)</t>
  </si>
  <si>
    <t>Industrial Systems (Actually Application)</t>
  </si>
  <si>
    <t>Application (Mixed  Dom., Apps. &amp; Serv.)</t>
  </si>
  <si>
    <t>60 ms</t>
  </si>
  <si>
    <t>1 Gbps</t>
  </si>
  <si>
    <t>Finance</t>
  </si>
  <si>
    <t>Education &amp; Media</t>
  </si>
  <si>
    <t>Agriculture</t>
  </si>
  <si>
    <t>Industrial</t>
  </si>
  <si>
    <t>Smart City</t>
  </si>
  <si>
    <t>Transportation</t>
  </si>
  <si>
    <t>Similarly grouped requirements</t>
  </si>
  <si>
    <t>Modified U/A/S</t>
  </si>
  <si>
    <t>Vehicles</t>
  </si>
  <si>
    <t>AR/VR</t>
  </si>
  <si>
    <t>Drones</t>
  </si>
  <si>
    <t>Autonomous Cars</t>
  </si>
  <si>
    <t>Internet of Drones</t>
  </si>
  <si>
    <t>Convoy of Drones</t>
  </si>
  <si>
    <t>Cars</t>
  </si>
  <si>
    <t>Asset/Process Monitoring or Autonomous Automated Guided Vehicles (AGVs)</t>
  </si>
  <si>
    <t>Waste Management</t>
  </si>
  <si>
    <t>Smart Parking</t>
  </si>
  <si>
    <t>Column 1 (C1)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</si>
  <si>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</si>
  <si>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</si>
  <si>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</si>
  <si>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</si>
  <si>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</si>
  <si>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</si>
  <si>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</si>
  <si>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</si>
  <si>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</si>
  <si>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</si>
  <si>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IoT Domain Mapping Table</t>
  </si>
  <si>
    <t>Example Keywords (match in Concept A/B or Title)</t>
  </si>
  <si>
    <t>health, healthcare, medical, patient, surgery, tele-surgery, monitoring (vitals), wearable, fitness, biomedical, medication, heart rate, stress, blood pressure, ECG, SpO₂, EMG, implant, sensor (medical)</t>
  </si>
  <si>
    <t>agriculture, farming, agribot, drone (farm), irrigation, fertilization, soil, crop, pest, livestock, animal monitoring, air and soil sensors</t>
  </si>
  <si>
    <t>smart city, urban, building automation, smart meter, metering, energy, grid, smart grid, power-system protection, environment, environmental monitoring, public safety, emergency, city surveillance, smart parking, smart traffic, waste management, renewable, wind farm, authority</t>
  </si>
  <si>
    <t>industrial, factory, manufacturing, IIoT, process control, automation, motion control, robotic, robots, cobot, assembly line, sensors (industrial), asset monitoring, process monitoring, tactile</t>
  </si>
  <si>
    <t>vehicle, automotive, car, drone, UAV, convoy, swarm, V2X, traffic, train, transport, intelligent transport, remote driving, autonomous, driving assistance, navigation, parking, supply chain, tactile</t>
  </si>
  <si>
    <t>education, learning, classroom, skillset, training, AR, VR, XR, immersive, video, gaming, entertainment, broadcasting, audio, high-fidelity media, content, culture, science, UHD, streaming, tactile</t>
  </si>
  <si>
    <t>IoT Application Mapping Table</t>
  </si>
  <si>
    <t>Precision Farming</t>
  </si>
  <si>
    <t>Livestock &amp; Crop Monitoring</t>
  </si>
  <si>
    <t>Smart Agricultural Machinery</t>
  </si>
  <si>
    <t>Agricultural Robotics &amp; Drones</t>
  </si>
  <si>
    <t>Generic</t>
  </si>
  <si>
    <t>Application / Use Case</t>
  </si>
  <si>
    <t>Description</t>
  </si>
  <si>
    <t>Example Keywords</t>
  </si>
  <si>
    <t>Use of connected sensors and edge computing to optimize irrigation, fertilization, and pest control.</t>
  </si>
  <si>
    <t>irrigation, fertilization, pest control, soil temperature</t>
  </si>
  <si>
    <t>Crop and Environmental Monitoring</t>
  </si>
  <si>
    <t>Continuous sensing of environmental parameters and plant health via various sensors.</t>
  </si>
  <si>
    <t>air sensors, soil sensors, environmental sensing</t>
  </si>
  <si>
    <t>Livestock Monitoring</t>
  </si>
  <si>
    <t>Tracking animal behavior and condition using cameras, acoustic sensors, etc.</t>
  </si>
  <si>
    <t>animal monitoring, acoustic sensors</t>
  </si>
  <si>
    <t>Connected tractors, harvesters, and autonomous vehicles with video or sensor systems.</t>
  </si>
  <si>
    <t>smart vehicles, video cameras</t>
  </si>
  <si>
    <t>Use of UAVs and Agribots for crop monitoring, spraying, and remote operations.</t>
  </si>
  <si>
    <t>drones, agribots, remote control</t>
  </si>
  <si>
    <t>Generic Agriculture IoT</t>
  </si>
  <si>
    <t>Broad references to “agriculture” without a specific application (e.g., “Remote Sensor (Agriculture)”).</t>
  </si>
  <si>
    <t>remote sensor, agriculture (alone)</t>
  </si>
  <si>
    <t>Immersive Media &amp; Entertainment</t>
  </si>
  <si>
    <t>High-Fidelity &amp; Real-Time Streaming</t>
  </si>
  <si>
    <t>Total: In category (Group Split)</t>
  </si>
  <si>
    <t>Smart &amp; Personalized Education</t>
  </si>
  <si>
    <t>App./Use Case</t>
  </si>
  <si>
    <t>Covers AR/VR/XR, holographic, and multi-sensory media experiences for entertainment, gaming, and events. Includes user-generated and interactive content as well as immersive live experiences.</t>
  </si>
  <si>
    <t>Focuses on ultra-high-definition, real-time, and low-latency video/audio streaming applications leveraging edge and 5G capabilities for media delivery.</t>
  </si>
  <si>
    <t>IoT- and XR-enhanced educational systems, such as smart classrooms, VR/AR-enabled learning, tactile/haptic training, and adaptive learning environments.</t>
  </si>
  <si>
    <t>tactile internet, personalized learning, AR/VR &amp; education, smart classroom, immersive learning, haptic feedback</t>
  </si>
  <si>
    <t>UHD, high-fidelity media, real-time video, professional audio/video, 4K/8K, streaming</t>
  </si>
  <si>
    <t>AR, VR, XR, holographic streaming, 3D audio, gaming, immersive media, entertainment, live events, user-generated content, holographic</t>
  </si>
  <si>
    <t>banking, finance, financial, insurance, retail, commerce, trading, interbank, transaction, mobile-to-bank, mobile-to-insurance, point-of-sale, smart bag, e-commerce, logistics, supply chain</t>
  </si>
  <si>
    <t>Smart Supply Chain &amp; Logistics</t>
  </si>
  <si>
    <t>Smart Retail &amp; Commerce</t>
  </si>
  <si>
    <t>Connected &amp; Automated Financial Services</t>
  </si>
  <si>
    <t>Encompasses all IoT- and edge-enabled financial applications, including mobile and digital banking, insurance, and high-speed automated trading. Focuses on connectivity, low-latency transactions, and mobility in finance.</t>
  </si>
  <si>
    <t>mobile-to-bank, mobile-to-insurance, banking, high-frequency transactions, fintech, algorithmic trading, connected payments</t>
  </si>
  <si>
    <t>Integration of IoT, sensors, and edge computing in physical retail environments to enable interactive shopping, connected payment systems, and digital customer experiences.</t>
  </si>
  <si>
    <t>stationary shops, smart bags, on-site live events, retail IoT, connected commerce</t>
  </si>
  <si>
    <t>Remote &amp; Robotic Surgery</t>
  </si>
  <si>
    <t>Not relevant/Does not fit</t>
  </si>
  <si>
    <t>Connected Health Monitoring &amp; Devices</t>
  </si>
  <si>
    <t>Continuous or periodic monitoring of vital signs and clinical parameters using IoT sensors, wearables, and implants. Includes medical-grade monitoring and diagnostics.</t>
  </si>
  <si>
    <t>Low-latency robotic or tele-operated surgery systems enabling remote operations or surgical assistance.</t>
  </si>
  <si>
    <t>tele-surgery, wireless tele-surgery, robotic surgery, remote surgery</t>
  </si>
  <si>
    <t>health monitoring, patient monitoring, glucose sensor, pacemaker, ECG, EMG, respiration, SpO₂, temperature, blood pressure, smart medication, wearable, fitness tracker, drug monitoring, connected dispenser, adherence tracking</t>
  </si>
  <si>
    <t>Robotics &amp; Motion Control</t>
  </si>
  <si>
    <t>Industrial Automation &amp; Process Control</t>
  </si>
  <si>
    <t>Monitoring, Fault Detection &amp; Predictive Maintenance</t>
  </si>
  <si>
    <t>Edge &amp; Networked Industrial Infrastructure</t>
  </si>
  <si>
    <t>Human–Machine Interaction &amp; Safety Systems</t>
  </si>
  <si>
    <t>Asset/Process Monitoring</t>
  </si>
  <si>
    <t>Autonomous Automated Guided Vehicles (AGVs)</t>
  </si>
  <si>
    <t>Motion Control Devices</t>
  </si>
  <si>
    <t>Core industrial control and automation systems managing continuous or discrete manufacturing processes. Encompasses regulatory, supervisory, and event-based control loops.</t>
  </si>
  <si>
    <t>Industry automation, process control, closed-loop control, factory automation, interlocking and control, open-loop systems, event-based control, IIoT orchestration</t>
  </si>
  <si>
    <t>Connected and autonomous robotic systems enabling precise actuation, machine operations, and industrial mobility through real-time motion coordination.</t>
  </si>
  <si>
    <t>Motion control, AGVs, collaborative robots, robotic control, industrial robots, cranes, machine tools, mobile robots, milling, packaging, printing</t>
  </si>
  <si>
    <t>Continuous monitoring and analytics for industrial processes and assets to detect anomalies, predict failures, and ensure operational reliability.</t>
  </si>
  <si>
    <t>Asset/process monitoring, fault detection, quality check, sensor data analysis, video surveillance, remote monitoring, alerting systems, information gathering, supervision</t>
  </si>
  <si>
    <t>Technologies enhancing safety, ergonomics, and cooperation between humans and machines, including AR/VR interfaces, tactile/haptic control, and wearable-assisted protection.</t>
  </si>
  <si>
    <t>Haptics, tactile internet, AR, emergency actions, safety systems, industrial wearables, worker protection, human touch feedback, audio/video communication</t>
  </si>
  <si>
    <t>Underlying communication, computing, and service networks (e.g., MEC, TSN, MVNOs) providing ultra-reliable, low-latency connectivity and distributed processing for industrial operations.</t>
  </si>
  <si>
    <t>Task offloading, MEC for telecom, MVNOs, industrial edge computing, mobile network enablers, network slicing, orchestration</t>
  </si>
  <si>
    <t>Government &amp; Public Service Delivery</t>
  </si>
  <si>
    <t>Public Safety, Security &amp; Surveillance</t>
  </si>
  <si>
    <t>Smart Buildings &amp; Infrastructure Automation</t>
  </si>
  <si>
    <t>Smart Energy &amp; Grid Management</t>
  </si>
  <si>
    <t>Urban Environment &amp; Public Space Management</t>
  </si>
  <si>
    <t>Digital public sector services for citizens, businesses, and inter-agency coordination. Includes communication channels, digital authority interactions, and city-wide information dissemination.</t>
  </si>
  <si>
    <t>mass communication, authority-to-customer, authority-to-business, authority-to-authority</t>
  </si>
  <si>
    <t>Systems that ensure public safety, emergency response, city-wide surveillance, crisis communication, and first-responder support.</t>
  </si>
  <si>
    <t>city surveillance, emergency situation management, critical communication, public safety services, UHD broadcasting, high-speed wireless access, critical support services, data fusion for emergencies</t>
  </si>
  <si>
    <t>Automation and monitoring for buildings, facilities, and physical infrastructure. Supports structural health, energy efficiency, and intelligent indoor environments.</t>
  </si>
  <si>
    <t>smart buildings, building automation, dense building automation, structure health monitoring, environmental monitoring (building-level), data fusion in environmental monitoring</t>
  </si>
  <si>
    <t>IoT-enabled energy distribution, grid protection, power automation, metering, and real-time utility operations.</t>
  </si>
  <si>
    <t>smart metering, smart energy, medium/high electricity distribution, smart grid, power-system protection, analogue measurements, reporting &amp; logging, status information, data polling, protection traffic, control traffic, video surveillance</t>
  </si>
  <si>
    <t>Management and monitoring of public areas, environmental conditions, crowd activity, and municipal resources.</t>
  </si>
  <si>
    <t>outdoor industrial events, public gatherings, shopping centers, urban area, environmental monitoring, environmental sensors, waste management, high-speed wireless access (public spaces), city surveillance (environmental context)</t>
  </si>
  <si>
    <t>Autonomous &amp; Connected Vehicles</t>
  </si>
  <si>
    <t>UAV &amp; Drone Operations</t>
  </si>
  <si>
    <t>Urban Mobility &amp; Intelligent Transportation Systems</t>
  </si>
  <si>
    <t>Systems enabling fully or partially autonomous driving, connected vehicle coordination, in-vehicle sensing, V2X communication, and advanced driver assistance.</t>
  </si>
  <si>
    <t>Autonomous Vehicles; Driving Assistance (Automotive); Power-train Motor; Self-driving Vehicles; Accidental Warnings; High Speed Train; Automated Driving; Automotive; Vehicles; Cars; Autonomous Cars; Haptics (Autonomous Vehicles); Sensors (Autonomous Vehicles); Video (Autonomous Vehicles); Audio (Autonomous Vehicles); Remote driving; Autonomous Vehicle; Vehicle Collision Warning; V2X communication (Multi-access Edge Computing for Logistics)</t>
  </si>
  <si>
    <t>Unmanned aerial systems, drone swarms, aerial communication/control, sensing, and UAV coordination for logistics, surveillance, or industrial uses.</t>
  </si>
  <si>
    <t>Multi-agent cooperation in UAV swarm (Large-scale IIoT, Smart Supply Chain); Avionics Full-Duplex Switched Ethernet (Aerial); Drone; Drones; Internet of Drones; Convoy of Drones; Haptics (Convoy/Swarm of Drones); Sensors (Convoy/Swarm of Drones); Video (Convoy/Swarm of Drones); Audio (Convoy/Swarm of Drones); GPS (Convoy/Swarm of Drones)</t>
  </si>
  <si>
    <t>Traffic optimization, roadside sensing, mobility analytics, urban infrastructure coordination, parking systems, and intelligent transport services.</t>
  </si>
  <si>
    <t>Traffic and Security (Automotive); Traffic Congestion; Traffic Management Efficiency; Urban Crossings; Safety Measures for Highway; Safety Measures for Urban Area; Intelligent transport system; Data Aggregation; Parking Occupation; Rerouting; Visualization; Smart Parking</t>
  </si>
  <si>
    <t>Use of IoT and IIoT technologies for supply chain automation, asset tracking, logistics optimization, mobile robotic operations, and coordinated vehicle movement within industrial, retail, and financial ecosystems.</t>
  </si>
  <si>
    <t>smart logistics; automated logistics; supply chain; IIoT; Mobile Robots; Automated Guided Vehicles (MEC Manufacturing); Automated vehicles (MEC Logistics); Localization and tracking in vehicular communication (Large-scale IIoT, Smart Supply Chain); Multi-agent cooperation in vehicle positioning (Large-scale IIoT, Smart Supply Chain); V2X communication (MEC Logistics)</t>
  </si>
  <si>
    <t>&lt;100</t>
  </si>
  <si>
    <t>[60000, 60000]</t>
  </si>
  <si>
    <t>[10000,10000]</t>
  </si>
  <si>
    <t>[100, 100]</t>
  </si>
  <si>
    <t>[20, 20]</t>
  </si>
  <si>
    <t>[2, 50]</t>
  </si>
  <si>
    <t>[30, 30]</t>
  </si>
  <si>
    <t>[10, 10]</t>
  </si>
  <si>
    <t>[7, 20]</t>
  </si>
  <si>
    <t>[2, 10]</t>
  </si>
  <si>
    <t>[2, 2]</t>
  </si>
  <si>
    <t>[0.5, 0.5]</t>
  </si>
  <si>
    <t>[0.5, 2]</t>
  </si>
  <si>
    <t>[5, 5]</t>
  </si>
  <si>
    <t>[15, 15]</t>
  </si>
  <si>
    <t>[1, 1]</t>
  </si>
  <si>
    <t>[7, 7]</t>
  </si>
  <si>
    <t>[50, 50]</t>
  </si>
  <si>
    <t>[250, 250]</t>
  </si>
  <si>
    <t>[3, 10]</t>
  </si>
  <si>
    <t>[0, 2)</t>
  </si>
  <si>
    <t>[1, 10]</t>
  </si>
  <si>
    <t>[20, 80]</t>
  </si>
  <si>
    <t>(1000, *)</t>
  </si>
  <si>
    <t>[0.5,50]</t>
  </si>
  <si>
    <t>(50, *)</t>
  </si>
  <si>
    <t>[0.5, 5]</t>
  </si>
  <si>
    <t>[1, 5]</t>
  </si>
  <si>
    <t>[0.1, 0.1]</t>
  </si>
  <si>
    <t>[50, *]</t>
  </si>
  <si>
    <t>[0.1, 2.5]</t>
  </si>
  <si>
    <t>[0.025, 2]</t>
  </si>
  <si>
    <t>(0.1, *)</t>
  </si>
  <si>
    <t>(500, *)</t>
  </si>
  <si>
    <t>[0.0002, 0.0005]</t>
  </si>
  <si>
    <t>[10, 50]</t>
  </si>
  <si>
    <t>[10, 100]</t>
  </si>
  <si>
    <t>(999, *)</t>
  </si>
  <si>
    <t>[4, 4]</t>
  </si>
  <si>
    <t>[500, 500]</t>
  </si>
  <si>
    <t>[12, 12]</t>
  </si>
  <si>
    <t>[4, 8]</t>
  </si>
  <si>
    <t>[50, 500]</t>
  </si>
  <si>
    <t>[0.001, 0.02]</t>
  </si>
  <si>
    <t>[0, 100)</t>
  </si>
  <si>
    <t>[200, 5000]</t>
  </si>
  <si>
    <t>[200, 200]</t>
  </si>
  <si>
    <t>[300, 300]</t>
  </si>
  <si>
    <t>[10, 1000]</t>
  </si>
  <si>
    <t>[16, 16]</t>
  </si>
  <si>
    <t>[3600000, 3600000]</t>
  </si>
  <si>
    <t>[25, 25]</t>
  </si>
  <si>
    <t>[1000, 1000]</t>
  </si>
  <si>
    <t>[1, 2]</t>
  </si>
  <si>
    <t>[1, 128]</t>
  </si>
  <si>
    <t>[150, 150]</t>
  </si>
  <si>
    <t>[8, 8]</t>
  </si>
  <si>
    <t>[60, 60]</t>
  </si>
  <si>
    <t>[0.1, 0.25]</t>
  </si>
  <si>
    <t>[5, 50]</t>
  </si>
  <si>
    <t>[5, 20]</t>
  </si>
  <si>
    <t>BER=10^-3. Not system reliability %</t>
  </si>
  <si>
    <t>BER=10^-4. Not system reliability %</t>
  </si>
  <si>
    <t>&gt;99</t>
  </si>
  <si>
    <t>&gt;98</t>
  </si>
  <si>
    <t>≥99.9999</t>
  </si>
  <si>
    <t>PER=10^-9. Not system reliability %</t>
  </si>
  <si>
    <t>PER=&gt;10^-9. Not system reliability %</t>
  </si>
  <si>
    <t>99.9-99.999</t>
  </si>
  <si>
    <t>≥99.9</t>
  </si>
  <si>
    <t>&gt;&gt;99.9999</t>
  </si>
  <si>
    <t>&gt;&gt; 99.9999</t>
  </si>
  <si>
    <t>99.999-99.99999</t>
  </si>
  <si>
    <t>99.9999-99.999999</t>
  </si>
  <si>
    <t xml:space="preserve"> PLR=&lt;10^-6. Not system reliability %</t>
  </si>
  <si>
    <t xml:space="preserve"> PLR=&lt;10^-9. Not system reliability %</t>
  </si>
  <si>
    <t>0.0008</t>
  </si>
  <si>
    <t>6.45</t>
  </si>
  <si>
    <t>1000–10000</t>
  </si>
  <si>
    <t>&gt;1000000</t>
  </si>
  <si>
    <t>2000–5000</t>
  </si>
  <si>
    <t>0.1</t>
  </si>
  <si>
    <t>&lt;0.001</t>
  </si>
  <si>
    <t>0.072</t>
  </si>
  <si>
    <t>0.032</t>
  </si>
  <si>
    <t>&lt;0.01</t>
  </si>
  <si>
    <t>1.536</t>
  </si>
  <si>
    <t>0.48</t>
  </si>
  <si>
    <t>1–100</t>
  </si>
  <si>
    <t>&gt;0.2</t>
  </si>
  <si>
    <t>0.2</t>
  </si>
  <si>
    <t>0.1–0.5</t>
  </si>
  <si>
    <t>&gt;1</t>
  </si>
  <si>
    <t>0.016</t>
  </si>
  <si>
    <t>0.0016</t>
  </si>
  <si>
    <t>0.250–1.5</t>
  </si>
  <si>
    <t>1.804</t>
  </si>
  <si>
    <t>0.00046</t>
  </si>
  <si>
    <t>0.000205</t>
  </si>
  <si>
    <t>0.615</t>
  </si>
  <si>
    <t>0.02</t>
  </si>
  <si>
    <t>0.3–20</t>
  </si>
  <si>
    <t>60–300</t>
  </si>
  <si>
    <t>0.1–29</t>
  </si>
  <si>
    <t>25–50</t>
  </si>
  <si>
    <t>0.004</t>
  </si>
  <si>
    <t>20–40</t>
  </si>
  <si>
    <t>20–100</t>
  </si>
  <si>
    <t>≤200 B</t>
  </si>
  <si>
    <t>1370 B</t>
  </si>
  <si>
    <t>1.1</t>
  </si>
  <si>
    <t>1-2.5</t>
  </si>
  <si>
    <t>2083-5220 B</t>
  </si>
  <si>
    <t>32 B</t>
  </si>
  <si>
    <t>Data Size (B)</t>
  </si>
  <si>
    <t>50-500</t>
  </si>
  <si>
    <t>100–1000</t>
  </si>
  <si>
    <t>30-50</t>
  </si>
  <si>
    <t>10 - 50</t>
  </si>
  <si>
    <t>10-100</t>
  </si>
  <si>
    <t>50–500</t>
  </si>
  <si>
    <t>50–100</t>
  </si>
  <si>
    <t>10–100</t>
  </si>
  <si>
    <t>10-250</t>
  </si>
  <si>
    <t>10–200</t>
  </si>
  <si>
    <t>15000-40000</t>
  </si>
  <si>
    <t>100-15000</t>
  </si>
  <si>
    <t>100-1500</t>
  </si>
  <si>
    <t>Lifetime (years): 5–15</t>
  </si>
  <si>
    <t>Lifetime (years): 5–10</t>
  </si>
  <si>
    <t>Lifetime (years): 10–15</t>
  </si>
  <si>
    <t>Lifetime (years): 10–20</t>
  </si>
  <si>
    <t>Network layer</t>
  </si>
  <si>
    <t>Grouped similar requirements</t>
  </si>
  <si>
    <t>Min Reliability (Wireless)</t>
  </si>
  <si>
    <t>Max Air Interface Packet Delay (Wireless)</t>
  </si>
  <si>
    <r>
      <rPr>
        <b/>
        <sz val="11"/>
        <color rgb="FF00B050"/>
        <rFont val="Calibri"/>
        <family val="2"/>
        <scheme val="minor"/>
      </rPr>
      <t>Reliability</t>
    </r>
    <r>
      <rPr>
        <b/>
        <sz val="11"/>
        <rFont val="Calibri"/>
        <family val="2"/>
        <scheme val="minor"/>
      </rPr>
      <t>, Packet Loss Rate</t>
    </r>
  </si>
  <si>
    <t>Throughput (like Data Rate)</t>
  </si>
  <si>
    <t>Network (Data Rate) - Auday will check</t>
  </si>
  <si>
    <r>
      <rPr>
        <b/>
        <sz val="11"/>
        <color rgb="FF00B050"/>
        <rFont val="Calibri"/>
        <family val="2"/>
        <scheme val="minor"/>
      </rPr>
      <t>Reliability</t>
    </r>
    <r>
      <rPr>
        <b/>
        <sz val="11"/>
        <rFont val="Calibri"/>
        <family val="2"/>
        <scheme val="minor"/>
      </rPr>
      <t>, Availability</t>
    </r>
  </si>
  <si>
    <t>Popular requirements that can me merged (they seem to mean the same thing)</t>
  </si>
  <si>
    <t>IoT Layer</t>
  </si>
  <si>
    <t>RTT (mean latency)</t>
  </si>
  <si>
    <t>Merge to minimum (DL Bandwidth, UL Bandwidth). Mean data rate</t>
  </si>
  <si>
    <r>
      <rPr>
        <b/>
        <sz val="11"/>
        <color rgb="FF00B050"/>
        <rFont val="Calibri"/>
        <family val="2"/>
        <scheme val="minor"/>
      </rPr>
      <t>Data Rate</t>
    </r>
    <r>
      <rPr>
        <b/>
        <sz val="11"/>
        <rFont val="Calibri"/>
        <family val="2"/>
        <scheme val="minor"/>
      </rPr>
      <t>, Sampling</t>
    </r>
  </si>
  <si>
    <r>
      <t>Latency</t>
    </r>
    <r>
      <rPr>
        <b/>
        <sz val="11"/>
        <rFont val="Calibri"/>
        <family val="2"/>
        <scheme val="minor"/>
      </rPr>
      <t>, Latency Fluctuation</t>
    </r>
  </si>
  <si>
    <t>25-70</t>
  </si>
  <si>
    <t>6.45-100</t>
  </si>
  <si>
    <t>6.45–5000</t>
  </si>
  <si>
    <t>0.004-0.070</t>
  </si>
  <si>
    <t>[1, 100]</t>
  </si>
  <si>
    <r>
      <t>Latency</t>
    </r>
    <r>
      <rPr>
        <b/>
        <sz val="11"/>
        <rFont val="Calibri"/>
        <family val="2"/>
        <scheme val="minor"/>
      </rPr>
      <t>, Jitter</t>
    </r>
  </si>
  <si>
    <t>1 -100 ms</t>
  </si>
  <si>
    <t>99-99.999</t>
  </si>
  <si>
    <t>1.1-1000</t>
  </si>
  <si>
    <t>\cite{6,8,12,13}</t>
  </si>
  <si>
    <t>0.5-150</t>
  </si>
  <si>
    <t>99.9-99.99999</t>
  </si>
  <si>
    <t>99.9 - 99.9999999</t>
  </si>
  <si>
    <t>0.004-100</t>
  </si>
  <si>
    <t>99-99.9</t>
  </si>
  <si>
    <t>0.3-300</t>
  </si>
  <si>
    <t>99-99.9999</t>
  </si>
  <si>
    <t>0.000205-10</t>
  </si>
  <si>
    <t>10-1000</t>
  </si>
  <si>
    <t>1-100</t>
  </si>
  <si>
    <t>1-10000</t>
  </si>
  <si>
    <t>\cite{13,14}</t>
  </si>
  <si>
    <t>\cite{6,8,13}</t>
  </si>
  <si>
    <t>\cite{5,6,7,8,13,14,15,19}</t>
  </si>
  <si>
    <t>\cite{8,13,14}</t>
  </si>
  <si>
    <t>\cite{8,11,13,14}</t>
  </si>
  <si>
    <t>200-5000</t>
  </si>
  <si>
    <t>\cite{8,14}</t>
  </si>
  <si>
    <t>1-50</t>
  </si>
  <si>
    <t>0.5-500</t>
  </si>
  <si>
    <t>99.9-99.9999999</t>
  </si>
  <si>
    <t>0.1-100</t>
  </si>
  <si>
    <t>\cite{1,5,8,9,13,14,15,19,20,22}</t>
  </si>
  <si>
    <t>98–99.9999999</t>
  </si>
  <si>
    <t>0.1–1000</t>
  </si>
  <si>
    <t>\cite{1,5,8,10,14,17,20,22}</t>
  </si>
  <si>
    <t>0.2–100</t>
  </si>
  <si>
    <t>\cite{3,6,7,8,10,13,17}</t>
  </si>
  <si>
    <t>2-5000</t>
  </si>
  <si>
    <t>0.1-100*</t>
  </si>
  <si>
    <t>1-5000</t>
  </si>
  <si>
    <t>1-3600000</t>
  </si>
  <si>
    <t xml:space="preserve"> 10–999*</t>
  </si>
  <si>
    <t>0.0002–50*</t>
  </si>
  <si>
    <t>99–99.99999</t>
  </si>
  <si>
    <t>1–1000</t>
  </si>
  <si>
    <t>0.1–50*</t>
  </si>
  <si>
    <t>\cite{5,7,10,13,14,20,22}</t>
  </si>
  <si>
    <t>\cite{5,14}</t>
  </si>
  <si>
    <t>99.999-99.9999999</t>
  </si>
  <si>
    <t>\cite{6,14,15,16}</t>
  </si>
  <si>
    <t>99.99–99.99999</t>
  </si>
  <si>
    <t>10–250</t>
  </si>
  <si>
    <t>0.001*–100</t>
  </si>
  <si>
    <t>\cite{14,15,16,21}</t>
  </si>
  <si>
    <t>0.1–100</t>
  </si>
  <si>
    <t>10–1000*</t>
  </si>
  <si>
    <t>\cite{14,18}</t>
  </si>
  <si>
    <t>95-99.5</t>
  </si>
  <si>
    <t>10–1000</t>
  </si>
  <si>
    <t>99.99-99.999999</t>
  </si>
  <si>
    <t>\cite{6,14}</t>
  </si>
  <si>
    <t>1–7</t>
  </si>
  <si>
    <t>95-99.9999</t>
  </si>
  <si>
    <t>\cite{6,7,13,14,19}</t>
  </si>
  <si>
    <t>0.5–30</t>
  </si>
  <si>
    <t>6.45–1000000*</t>
  </si>
  <si>
    <t>2–50</t>
  </si>
  <si>
    <t>25–10000</t>
  </si>
  <si>
    <t>\cite{6,14,19}</t>
  </si>
  <si>
    <t>Primary Study</t>
  </si>
  <si>
    <t>[2,50]</t>
  </si>
  <si>
    <t>2-30</t>
  </si>
  <si>
    <r>
      <t xml:space="preserve">Range, </t>
    </r>
    <r>
      <rPr>
        <b/>
        <sz val="11"/>
        <color rgb="FFFF0000"/>
        <rFont val="Calibri"/>
        <family val="2"/>
        <scheme val="minor"/>
      </rPr>
      <t>Scale (number of nodes)</t>
    </r>
  </si>
  <si>
    <r>
      <t xml:space="preserve">Range, </t>
    </r>
    <r>
      <rPr>
        <b/>
        <sz val="11"/>
        <color rgb="FFFF0000"/>
        <rFont val="Calibri"/>
        <family val="2"/>
        <scheme val="minor"/>
      </rPr>
      <t>Scalability (number of nodes)</t>
    </r>
  </si>
  <si>
    <t>All values included</t>
  </si>
  <si>
    <t>(0, 1)</t>
  </si>
  <si>
    <t>(0, 150)</t>
  </si>
  <si>
    <t>(0, 250)</t>
  </si>
  <si>
    <t>(0, 10)</t>
  </si>
  <si>
    <t>(0, 2]</t>
  </si>
  <si>
    <t>(0, 50]</t>
  </si>
  <si>
    <t>(0, 100]</t>
  </si>
  <si>
    <t>(0, 5000]</t>
  </si>
  <si>
    <t>(0, 5)</t>
  </si>
  <si>
    <t>(0, 100)</t>
  </si>
  <si>
    <t>100-5000</t>
  </si>
  <si>
    <t>Latency Range (ms)</t>
  </si>
  <si>
    <t>2-100</t>
  </si>
  <si>
    <t>0.5-128</t>
  </si>
  <si>
    <t>0.1-20</t>
  </si>
  <si>
    <t>20-100</t>
  </si>
  <si>
    <t>1-1000</t>
  </si>
  <si>
    <t>1000-5000 &amp; 3600000</t>
  </si>
  <si>
    <t>200-500</t>
  </si>
  <si>
    <t>500-5000</t>
  </si>
  <si>
    <t>0.5-100</t>
  </si>
  <si>
    <t>100-500</t>
  </si>
  <si>
    <t>0.0002-10</t>
  </si>
  <si>
    <t>10-50</t>
  </si>
  <si>
    <t>0.1-50</t>
  </si>
  <si>
    <t>50-80 &amp; &gt;1000</t>
  </si>
  <si>
    <t>&gt;500, &gt;999</t>
  </si>
  <si>
    <t>10-50, &gt;500</t>
  </si>
  <si>
    <t>0.5-15</t>
  </si>
  <si>
    <t>15-20 &amp; 30</t>
  </si>
  <si>
    <t>99,9-99,999</t>
  </si>
  <si>
    <t>&gt;99,999</t>
  </si>
  <si>
    <t>99,9–99,99999</t>
  </si>
  <si>
    <t>≥99,9999</t>
  </si>
  <si>
    <t>≥99,9</t>
  </si>
  <si>
    <t>&gt;&gt; 99,9999</t>
  </si>
  <si>
    <t>&gt;&gt;99,9999</t>
  </si>
  <si>
    <t>99,9–99,999</t>
  </si>
  <si>
    <t>Lat Low Bound</t>
  </si>
  <si>
    <t>Lat Upp Bound</t>
  </si>
  <si>
    <t>Lat Min non-Zero</t>
  </si>
  <si>
    <t>Lat Max</t>
  </si>
  <si>
    <t>Lat 90th Upp</t>
  </si>
  <si>
    <t>Lat Actual</t>
  </si>
  <si>
    <t>Lat Outlier</t>
  </si>
  <si>
    <t>Rel Low Bound</t>
  </si>
  <si>
    <t>Rel Upp Bound</t>
  </si>
  <si>
    <t>Rel Min non-Zero</t>
  </si>
  <si>
    <t>Rel Max</t>
  </si>
  <si>
    <t>Rel 90th Upp</t>
  </si>
  <si>
    <t>Rel Actual</t>
  </si>
  <si>
    <t>99.99-99.999</t>
  </si>
  <si>
    <t>Rel Outlier</t>
  </si>
  <si>
    <t>99.99-99.9999</t>
  </si>
  <si>
    <t>99-99.99999</t>
  </si>
  <si>
    <t>98-99.9999999</t>
  </si>
  <si>
    <t>98-99.9999</t>
  </si>
  <si>
    <t>Dat Low Bound</t>
  </si>
  <si>
    <t>Dat Upp Bound</t>
  </si>
  <si>
    <t>Dat Min non-Zero</t>
  </si>
  <si>
    <t>Dat Max</t>
  </si>
  <si>
    <t>Dat 90th Upp</t>
  </si>
  <si>
    <t>Dat Actual</t>
  </si>
  <si>
    <t>Dat Outlier</t>
  </si>
  <si>
    <t>25-200</t>
  </si>
  <si>
    <t>1000 &amp; &gt;1000000</t>
  </si>
  <si>
    <t>0.032-5</t>
  </si>
  <si>
    <t>&lt;0.001 &amp; 100</t>
  </si>
  <si>
    <t>0.2-10</t>
  </si>
  <si>
    <t>1000-10000</t>
  </si>
  <si>
    <t>0.004-50</t>
  </si>
  <si>
    <t>20-40</t>
  </si>
  <si>
    <t>\cite{5,14,18}</t>
  </si>
  <si>
    <t>\cite{1,8,10,14,17,20,22}</t>
  </si>
  <si>
    <t xml:space="preserve">90 percentile </t>
  </si>
  <si>
    <t>Updated text for clarification</t>
  </si>
  <si>
    <t>Requirements per category</t>
  </si>
  <si>
    <t>Total Requirements</t>
  </si>
  <si>
    <t>Various</t>
  </si>
  <si>
    <t>Ues</t>
  </si>
  <si>
    <t>Total: 18</t>
  </si>
  <si>
    <t>Total: 24</t>
  </si>
  <si>
    <t>Total: 19</t>
  </si>
  <si>
    <t>Total: 13</t>
  </si>
  <si>
    <t>Total: 4</t>
  </si>
  <si>
    <t>SUM:</t>
  </si>
  <si>
    <t>Too specific/Not relevant</t>
  </si>
  <si>
    <t>1.1-10</t>
  </si>
  <si>
    <t>Latency (90th, ms)</t>
  </si>
  <si>
    <t>Latency (tail, ms)</t>
  </si>
  <si>
    <t>Data Rate (90th, Mbps)</t>
  </si>
  <si>
    <t>Data Rate (tail, Mbps)</t>
  </si>
  <si>
    <t>Reliability (tail, %)</t>
  </si>
  <si>
    <t>0.0002-100</t>
  </si>
  <si>
    <t>0.1-128</t>
  </si>
  <si>
    <t>0.000205-300</t>
  </si>
  <si>
    <t>1–250</t>
  </si>
  <si>
    <t>99,99999-99,9999999</t>
  </si>
  <si>
    <t>0.5-30</t>
  </si>
  <si>
    <t>6.45-1000</t>
  </si>
  <si>
    <t>10000, &gt;1000000</t>
  </si>
  <si>
    <t>95-99.99999</t>
  </si>
  <si>
    <t>&gt;1000</t>
  </si>
  <si>
    <t>95-99.999</t>
  </si>
  <si>
    <t>99,99999-99.999999</t>
  </si>
  <si>
    <t>128-5000</t>
  </si>
  <si>
    <t>1000-3600000</t>
  </si>
  <si>
    <t>100-999+</t>
  </si>
  <si>
    <t>0.032-1600</t>
  </si>
  <si>
    <t>Consolidated</t>
  </si>
  <si>
    <t>Ultra Consolidated</t>
  </si>
  <si>
    <t>Green = lowest floor</t>
  </si>
  <si>
    <t>Red = highest ciel</t>
  </si>
  <si>
    <t>Count of ref:</t>
  </si>
  <si>
    <t>Count:</t>
  </si>
  <si>
    <t>How many time ref # was used: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</si>
</sst>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3" fillId="0" borderId="0" xfId="0" applyFont="1"/>
    <xf numFmtId="0" fontId="1" fillId="5" borderId="0" xfId="0" applyFont="1" applyFill="1"/>
    <xf numFmtId="0" fontId="0" fillId="5" borderId="0" xfId="0" applyFill="1"/>
    <xf numFmtId="0" fontId="1" fillId="0" borderId="1" xfId="0" applyFont="1" applyBorder="1"/>
    <xf numFmtId="0" fontId="0" fillId="6" borderId="0" xfId="0" applyFill="1"/>
    <xf numFmtId="0" fontId="4" fillId="0" borderId="0" xfId="0" applyFont="1"/>
    <xf numFmtId="0" fontId="4" fillId="4" borderId="0" xfId="0" applyFont="1" applyFill="1"/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wrapText="1"/>
    </xf>
    <xf numFmtId="0" fontId="7" fillId="0" borderId="0" xfId="0" applyFont="1"/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4" borderId="0" xfId="0" applyFont="1" applyFill="1"/>
    <xf numFmtId="16" fontId="0" fillId="0" borderId="0" xfId="0" applyNumberFormat="1"/>
    <xf numFmtId="0" fontId="9" fillId="0" borderId="0" xfId="0" applyFont="1"/>
    <xf numFmtId="0" fontId="10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165"/>
      <color rgb="FFCBD9F5"/>
      <color rgb="FF191D1C"/>
      <color rgb="FF4664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MD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4800"/>
      </a:accent1>
      <a:accent2>
        <a:srgbClr val="00352D"/>
      </a:accent2>
      <a:accent3>
        <a:srgbClr val="FCF4EB"/>
      </a:accent3>
      <a:accent4>
        <a:srgbClr val="FEE9B3"/>
      </a:accent4>
      <a:accent5>
        <a:srgbClr val="94C3BD"/>
      </a:accent5>
      <a:accent6>
        <a:srgbClr val="EFF2F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0DCF-9D9A-4BAE-A0A3-9EF40B7B248D}">
  <dimension ref="A1:M375"/>
  <sheetViews>
    <sheetView zoomScaleNormal="100" workbookViewId="0">
      <selection activeCell="G11" sqref="G11"/>
    </sheetView>
  </sheetViews>
  <sheetFormatPr defaultRowHeight="15" x14ac:dyDescent="0.25"/>
  <cols>
    <col min="1" max="1" width="3.42578125" customWidth="1"/>
    <col min="2" max="2" width="8.5703125" customWidth="1"/>
    <col min="3" max="3" width="5.140625" customWidth="1"/>
    <col min="4" max="4" width="47.42578125" customWidth="1"/>
    <col min="5" max="5" width="10.85546875" customWidth="1"/>
    <col min="6" max="6" width="11.42578125" customWidth="1"/>
    <col min="7" max="7" width="46.28515625" customWidth="1"/>
    <col min="8" max="8" width="63.85546875" customWidth="1"/>
    <col min="9" max="9" width="17.5703125" customWidth="1"/>
    <col min="10" max="10" width="12.7109375" customWidth="1"/>
    <col min="11" max="11" width="13.85546875" customWidth="1"/>
    <col min="12" max="12" width="19.28515625" customWidth="1"/>
    <col min="13" max="13" width="1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730</v>
      </c>
      <c r="I1" s="1"/>
      <c r="J1" s="1"/>
      <c r="K1" s="1"/>
      <c r="L1" s="1"/>
    </row>
    <row r="2" spans="1:13" x14ac:dyDescent="0.25">
      <c r="F2" s="1" t="s">
        <v>5</v>
      </c>
      <c r="G2" s="1" t="s">
        <v>691</v>
      </c>
      <c r="H2" s="1" t="s">
        <v>731</v>
      </c>
      <c r="I2" s="1" t="s">
        <v>9</v>
      </c>
      <c r="J2" s="1" t="s">
        <v>732</v>
      </c>
    </row>
    <row r="3" spans="1:13" x14ac:dyDescent="0.25">
      <c r="A3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28</v>
      </c>
      <c r="I3" t="s">
        <v>29</v>
      </c>
      <c r="J3" t="s">
        <v>30</v>
      </c>
    </row>
    <row r="4" spans="1:13" x14ac:dyDescent="0.25">
      <c r="A4">
        <v>1</v>
      </c>
      <c r="B4" t="s">
        <v>21</v>
      </c>
      <c r="C4" t="s">
        <v>22</v>
      </c>
      <c r="D4" t="s">
        <v>23</v>
      </c>
      <c r="E4" t="s">
        <v>24</v>
      </c>
      <c r="F4" t="s">
        <v>733</v>
      </c>
      <c r="G4" t="s">
        <v>26</v>
      </c>
      <c r="H4" t="s">
        <v>28</v>
      </c>
      <c r="I4" t="s">
        <v>31</v>
      </c>
      <c r="J4" t="s">
        <v>30</v>
      </c>
    </row>
    <row r="5" spans="1:13" x14ac:dyDescent="0.25">
      <c r="A5">
        <v>1</v>
      </c>
      <c r="B5" t="s">
        <v>21</v>
      </c>
      <c r="C5" t="s">
        <v>22</v>
      </c>
      <c r="D5" t="s">
        <v>23</v>
      </c>
      <c r="E5" t="s">
        <v>24</v>
      </c>
      <c r="F5" t="s">
        <v>32</v>
      </c>
      <c r="G5" t="s">
        <v>26</v>
      </c>
      <c r="H5" t="s">
        <v>28</v>
      </c>
      <c r="I5" t="s">
        <v>33</v>
      </c>
      <c r="J5" t="s">
        <v>30</v>
      </c>
    </row>
    <row r="6" spans="1:13" x14ac:dyDescent="0.25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34</v>
      </c>
      <c r="G6" t="s">
        <v>26</v>
      </c>
      <c r="H6" t="s">
        <v>28</v>
      </c>
      <c r="I6" t="s">
        <v>35</v>
      </c>
      <c r="J6" t="s">
        <v>30</v>
      </c>
    </row>
    <row r="7" spans="1:1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F8" s="1" t="s">
        <v>5</v>
      </c>
      <c r="G8" s="1" t="s">
        <v>729</v>
      </c>
    </row>
    <row r="9" spans="1:13" x14ac:dyDescent="0.25">
      <c r="A9">
        <v>2</v>
      </c>
      <c r="B9" t="s">
        <v>36</v>
      </c>
      <c r="C9" t="s">
        <v>22</v>
      </c>
      <c r="D9" t="s">
        <v>37</v>
      </c>
      <c r="E9" t="s">
        <v>38</v>
      </c>
      <c r="F9" t="s">
        <v>39</v>
      </c>
      <c r="G9" t="s">
        <v>40</v>
      </c>
    </row>
    <row r="10" spans="1:13" x14ac:dyDescent="0.25">
      <c r="A10">
        <v>2</v>
      </c>
      <c r="B10" t="s">
        <v>36</v>
      </c>
      <c r="C10" t="s">
        <v>22</v>
      </c>
      <c r="D10" t="s">
        <v>37</v>
      </c>
      <c r="E10" t="s">
        <v>38</v>
      </c>
      <c r="F10" t="s">
        <v>41</v>
      </c>
      <c r="G10" t="s">
        <v>42</v>
      </c>
    </row>
    <row r="11" spans="1:13" x14ac:dyDescent="0.25">
      <c r="A11">
        <v>2</v>
      </c>
      <c r="B11" t="s">
        <v>36</v>
      </c>
      <c r="C11" t="s">
        <v>22</v>
      </c>
      <c r="D11" t="s">
        <v>37</v>
      </c>
      <c r="E11" t="s">
        <v>38</v>
      </c>
      <c r="F11" t="s">
        <v>43</v>
      </c>
      <c r="G11" t="s">
        <v>44</v>
      </c>
    </row>
    <row r="12" spans="1:13" x14ac:dyDescent="0.25">
      <c r="A12">
        <v>2</v>
      </c>
      <c r="B12" t="s">
        <v>36</v>
      </c>
      <c r="C12" t="s">
        <v>22</v>
      </c>
      <c r="D12" t="s">
        <v>37</v>
      </c>
      <c r="E12" t="s">
        <v>38</v>
      </c>
      <c r="F12" t="s">
        <v>45</v>
      </c>
      <c r="G12" t="s">
        <v>46</v>
      </c>
    </row>
    <row r="13" spans="1:13" x14ac:dyDescent="0.25">
      <c r="A13">
        <v>2</v>
      </c>
      <c r="B13" t="s">
        <v>36</v>
      </c>
      <c r="C13" t="s">
        <v>22</v>
      </c>
      <c r="D13" t="s">
        <v>37</v>
      </c>
      <c r="E13" t="s">
        <v>38</v>
      </c>
      <c r="F13" t="s">
        <v>47</v>
      </c>
      <c r="G13" t="s">
        <v>48</v>
      </c>
    </row>
    <row r="14" spans="1:13" x14ac:dyDescent="0.25">
      <c r="A14">
        <v>2</v>
      </c>
      <c r="B14" t="s">
        <v>36</v>
      </c>
      <c r="C14" t="s">
        <v>22</v>
      </c>
      <c r="D14" t="s">
        <v>37</v>
      </c>
      <c r="E14" t="s">
        <v>38</v>
      </c>
      <c r="F14" t="s">
        <v>49</v>
      </c>
      <c r="G14" t="s">
        <v>50</v>
      </c>
    </row>
    <row r="15" spans="1:13" x14ac:dyDescent="0.25">
      <c r="A15">
        <v>2</v>
      </c>
      <c r="B15" t="s">
        <v>36</v>
      </c>
      <c r="C15" t="s">
        <v>22</v>
      </c>
      <c r="D15" t="s">
        <v>37</v>
      </c>
      <c r="E15" t="s">
        <v>38</v>
      </c>
      <c r="F15" t="s">
        <v>51</v>
      </c>
      <c r="G15" t="s">
        <v>52</v>
      </c>
    </row>
    <row r="16" spans="1:13" x14ac:dyDescent="0.25">
      <c r="A16">
        <v>2</v>
      </c>
      <c r="B16" t="s">
        <v>36</v>
      </c>
      <c r="C16" t="s">
        <v>22</v>
      </c>
      <c r="D16" t="s">
        <v>37</v>
      </c>
      <c r="E16" t="s">
        <v>38</v>
      </c>
      <c r="F16" t="s">
        <v>53</v>
      </c>
      <c r="G16" t="s">
        <v>54</v>
      </c>
    </row>
    <row r="17" spans="1:13" x14ac:dyDescent="0.25">
      <c r="A17">
        <v>2</v>
      </c>
      <c r="B17" t="s">
        <v>36</v>
      </c>
      <c r="C17" t="s">
        <v>22</v>
      </c>
      <c r="D17" t="s">
        <v>37</v>
      </c>
      <c r="E17" t="s">
        <v>38</v>
      </c>
      <c r="F17" t="s">
        <v>55</v>
      </c>
      <c r="G17" t="s">
        <v>52</v>
      </c>
    </row>
    <row r="18" spans="1:1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F19" t="s">
        <v>726</v>
      </c>
    </row>
    <row r="20" spans="1:13" x14ac:dyDescent="0.25">
      <c r="F20" s="1" t="s">
        <v>725</v>
      </c>
      <c r="G20" s="1" t="s">
        <v>331</v>
      </c>
      <c r="H20" s="1" t="s">
        <v>8</v>
      </c>
      <c r="I20" s="1" t="s">
        <v>10</v>
      </c>
      <c r="J20" s="1" t="s">
        <v>12</v>
      </c>
      <c r="K20" s="1" t="s">
        <v>702</v>
      </c>
      <c r="L20" s="1" t="s">
        <v>14</v>
      </c>
      <c r="M20" s="1" t="s">
        <v>15</v>
      </c>
    </row>
    <row r="21" spans="1:13" x14ac:dyDescent="0.25">
      <c r="A21">
        <v>3</v>
      </c>
      <c r="B21" t="s">
        <v>56</v>
      </c>
      <c r="C21" t="s">
        <v>57</v>
      </c>
      <c r="D21" t="s">
        <v>58</v>
      </c>
      <c r="E21" t="s">
        <v>59</v>
      </c>
      <c r="F21" t="s">
        <v>745</v>
      </c>
      <c r="G21" t="s">
        <v>579</v>
      </c>
      <c r="H21" t="s">
        <v>61</v>
      </c>
      <c r="I21" t="s">
        <v>27</v>
      </c>
      <c r="J21" t="s">
        <v>62</v>
      </c>
      <c r="K21" t="s">
        <v>60</v>
      </c>
      <c r="L21" t="s">
        <v>63</v>
      </c>
      <c r="M21" t="s">
        <v>727</v>
      </c>
    </row>
    <row r="22" spans="1:13" x14ac:dyDescent="0.25">
      <c r="A22">
        <v>3</v>
      </c>
      <c r="B22" t="s">
        <v>56</v>
      </c>
      <c r="C22" t="s">
        <v>57</v>
      </c>
      <c r="D22" t="s">
        <v>58</v>
      </c>
      <c r="E22" t="s">
        <v>59</v>
      </c>
      <c r="F22" t="s">
        <v>745</v>
      </c>
      <c r="G22" t="s">
        <v>747</v>
      </c>
      <c r="H22" t="s">
        <v>65</v>
      </c>
      <c r="I22" t="s">
        <v>27</v>
      </c>
      <c r="J22" t="s">
        <v>66</v>
      </c>
      <c r="K22" t="s">
        <v>64</v>
      </c>
      <c r="L22" t="s">
        <v>63</v>
      </c>
      <c r="M22" t="s">
        <v>728</v>
      </c>
    </row>
    <row r="23" spans="1:13" x14ac:dyDescent="0.25">
      <c r="A23">
        <v>3</v>
      </c>
      <c r="B23" t="s">
        <v>56</v>
      </c>
      <c r="C23" t="s">
        <v>57</v>
      </c>
      <c r="D23" t="s">
        <v>58</v>
      </c>
      <c r="E23" t="s">
        <v>59</v>
      </c>
      <c r="F23" t="s">
        <v>746</v>
      </c>
      <c r="G23" t="s">
        <v>747</v>
      </c>
      <c r="H23" t="s">
        <v>68</v>
      </c>
      <c r="I23" t="s">
        <v>69</v>
      </c>
      <c r="J23" t="s">
        <v>66</v>
      </c>
      <c r="K23" t="s">
        <v>67</v>
      </c>
      <c r="L23" t="s">
        <v>63</v>
      </c>
      <c r="M23" t="s">
        <v>728</v>
      </c>
    </row>
    <row r="24" spans="1:1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5">
      <c r="F25" s="1" t="s">
        <v>308</v>
      </c>
      <c r="G25" s="1" t="s">
        <v>16</v>
      </c>
      <c r="H25" s="1" t="s">
        <v>575</v>
      </c>
    </row>
    <row r="26" spans="1:13" x14ac:dyDescent="0.25">
      <c r="A26">
        <v>4</v>
      </c>
      <c r="B26" t="s">
        <v>70</v>
      </c>
      <c r="C26" t="s">
        <v>57</v>
      </c>
      <c r="D26" t="s">
        <v>71</v>
      </c>
      <c r="E26" t="s">
        <v>24</v>
      </c>
      <c r="F26" t="s">
        <v>73</v>
      </c>
      <c r="G26" t="s">
        <v>74</v>
      </c>
      <c r="H26" t="s">
        <v>72</v>
      </c>
    </row>
    <row r="27" spans="1:13" x14ac:dyDescent="0.25">
      <c r="A27">
        <v>4</v>
      </c>
      <c r="B27" t="s">
        <v>70</v>
      </c>
      <c r="C27" t="s">
        <v>57</v>
      </c>
      <c r="D27" t="s">
        <v>71</v>
      </c>
      <c r="E27" t="s">
        <v>24</v>
      </c>
      <c r="F27" t="s">
        <v>76</v>
      </c>
      <c r="G27" t="s">
        <v>74</v>
      </c>
      <c r="H27" t="s">
        <v>75</v>
      </c>
    </row>
    <row r="28" spans="1:13" x14ac:dyDescent="0.25">
      <c r="A28">
        <v>4</v>
      </c>
      <c r="B28" t="s">
        <v>70</v>
      </c>
      <c r="C28" t="s">
        <v>57</v>
      </c>
      <c r="D28" t="s">
        <v>71</v>
      </c>
      <c r="E28" t="s">
        <v>24</v>
      </c>
      <c r="F28" t="s">
        <v>78</v>
      </c>
      <c r="G28" t="s">
        <v>74</v>
      </c>
      <c r="H28" t="s">
        <v>77</v>
      </c>
    </row>
    <row r="29" spans="1:13" x14ac:dyDescent="0.25">
      <c r="A29">
        <v>4</v>
      </c>
      <c r="B29" t="s">
        <v>70</v>
      </c>
      <c r="C29" t="s">
        <v>57</v>
      </c>
      <c r="D29" t="s">
        <v>71</v>
      </c>
      <c r="E29" t="s">
        <v>24</v>
      </c>
      <c r="F29" t="s">
        <v>79</v>
      </c>
      <c r="G29" t="s">
        <v>80</v>
      </c>
      <c r="H29" t="s">
        <v>75</v>
      </c>
    </row>
    <row r="30" spans="1:13" x14ac:dyDescent="0.25">
      <c r="A30">
        <v>4</v>
      </c>
      <c r="B30" t="s">
        <v>70</v>
      </c>
      <c r="C30" t="s">
        <v>57</v>
      </c>
      <c r="D30" t="s">
        <v>71</v>
      </c>
      <c r="E30" t="s">
        <v>24</v>
      </c>
      <c r="F30" t="s">
        <v>81</v>
      </c>
      <c r="G30" t="s">
        <v>80</v>
      </c>
      <c r="H30" t="s">
        <v>77</v>
      </c>
    </row>
    <row r="31" spans="1:13" x14ac:dyDescent="0.25">
      <c r="A31">
        <v>4</v>
      </c>
      <c r="B31" t="s">
        <v>70</v>
      </c>
      <c r="C31" t="s">
        <v>57</v>
      </c>
      <c r="D31" t="s">
        <v>71</v>
      </c>
      <c r="E31" t="s">
        <v>24</v>
      </c>
      <c r="F31" t="s">
        <v>82</v>
      </c>
      <c r="G31" t="s">
        <v>83</v>
      </c>
      <c r="H31" t="s">
        <v>75</v>
      </c>
    </row>
    <row r="32" spans="1:13" x14ac:dyDescent="0.25">
      <c r="A32">
        <v>4</v>
      </c>
      <c r="B32" t="s">
        <v>70</v>
      </c>
      <c r="C32" t="s">
        <v>57</v>
      </c>
      <c r="D32" t="s">
        <v>71</v>
      </c>
      <c r="E32" t="s">
        <v>24</v>
      </c>
      <c r="F32" t="s">
        <v>84</v>
      </c>
      <c r="G32" t="s">
        <v>83</v>
      </c>
      <c r="H32" t="s">
        <v>72</v>
      </c>
    </row>
    <row r="33" spans="1:13" x14ac:dyDescent="0.25">
      <c r="A33">
        <v>4</v>
      </c>
      <c r="B33" t="s">
        <v>70</v>
      </c>
      <c r="C33" t="s">
        <v>57</v>
      </c>
      <c r="D33" t="s">
        <v>71</v>
      </c>
      <c r="E33" t="s">
        <v>24</v>
      </c>
      <c r="F33" t="s">
        <v>85</v>
      </c>
      <c r="G33" t="s">
        <v>83</v>
      </c>
      <c r="H33" t="s">
        <v>77</v>
      </c>
    </row>
    <row r="34" spans="1:13" x14ac:dyDescent="0.25">
      <c r="A34">
        <v>4</v>
      </c>
      <c r="B34" t="s">
        <v>70</v>
      </c>
      <c r="C34" t="s">
        <v>57</v>
      </c>
      <c r="D34" t="s">
        <v>71</v>
      </c>
      <c r="E34" t="s">
        <v>24</v>
      </c>
      <c r="F34" t="s">
        <v>86</v>
      </c>
      <c r="G34" t="s">
        <v>87</v>
      </c>
      <c r="H34" t="s">
        <v>72</v>
      </c>
    </row>
    <row r="35" spans="1:13" x14ac:dyDescent="0.25">
      <c r="A35">
        <v>4</v>
      </c>
      <c r="B35" t="s">
        <v>70</v>
      </c>
      <c r="C35" t="s">
        <v>57</v>
      </c>
      <c r="D35" t="s">
        <v>71</v>
      </c>
      <c r="E35" t="s">
        <v>24</v>
      </c>
      <c r="F35" t="s">
        <v>89</v>
      </c>
      <c r="G35" t="s">
        <v>87</v>
      </c>
      <c r="H35" t="s">
        <v>88</v>
      </c>
    </row>
    <row r="36" spans="1:13" x14ac:dyDescent="0.25">
      <c r="A36">
        <v>4</v>
      </c>
      <c r="B36" t="s">
        <v>70</v>
      </c>
      <c r="C36" t="s">
        <v>57</v>
      </c>
      <c r="D36" t="s">
        <v>71</v>
      </c>
      <c r="E36" t="s">
        <v>24</v>
      </c>
      <c r="F36" t="s">
        <v>90</v>
      </c>
      <c r="G36" t="s">
        <v>87</v>
      </c>
      <c r="H36" t="s">
        <v>77</v>
      </c>
    </row>
    <row r="37" spans="1:13" x14ac:dyDescent="0.25">
      <c r="A37">
        <v>4</v>
      </c>
      <c r="B37" t="s">
        <v>70</v>
      </c>
      <c r="C37" t="s">
        <v>57</v>
      </c>
      <c r="D37" t="s">
        <v>71</v>
      </c>
      <c r="E37" t="s">
        <v>24</v>
      </c>
      <c r="F37" t="s">
        <v>91</v>
      </c>
      <c r="G37" t="s">
        <v>92</v>
      </c>
      <c r="H37" t="s">
        <v>88</v>
      </c>
    </row>
    <row r="38" spans="1:13" x14ac:dyDescent="0.25">
      <c r="A38">
        <v>4</v>
      </c>
      <c r="B38" t="s">
        <v>70</v>
      </c>
      <c r="C38" t="s">
        <v>57</v>
      </c>
      <c r="D38" t="s">
        <v>71</v>
      </c>
      <c r="E38" t="s">
        <v>24</v>
      </c>
      <c r="F38" t="s">
        <v>93</v>
      </c>
      <c r="G38" t="s">
        <v>94</v>
      </c>
      <c r="H38" t="s">
        <v>88</v>
      </c>
    </row>
    <row r="39" spans="1:13" x14ac:dyDescent="0.25">
      <c r="A39">
        <v>4</v>
      </c>
      <c r="B39" t="s">
        <v>70</v>
      </c>
      <c r="C39" t="s">
        <v>57</v>
      </c>
      <c r="D39" t="s">
        <v>71</v>
      </c>
      <c r="E39" t="s">
        <v>24</v>
      </c>
      <c r="F39" t="s">
        <v>95</v>
      </c>
      <c r="G39" t="s">
        <v>94</v>
      </c>
      <c r="H39" t="s">
        <v>75</v>
      </c>
    </row>
    <row r="40" spans="1:1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5">
      <c r="F41" t="s">
        <v>724</v>
      </c>
    </row>
    <row r="42" spans="1:13" x14ac:dyDescent="0.25">
      <c r="F42" s="1" t="s">
        <v>723</v>
      </c>
      <c r="G42" s="1" t="s">
        <v>17</v>
      </c>
      <c r="H42" s="1" t="s">
        <v>8</v>
      </c>
      <c r="I42" s="1" t="s">
        <v>6</v>
      </c>
      <c r="J42" s="1" t="s">
        <v>18</v>
      </c>
    </row>
    <row r="43" spans="1:13" x14ac:dyDescent="0.25">
      <c r="A43">
        <v>5</v>
      </c>
      <c r="B43" t="s">
        <v>96</v>
      </c>
      <c r="C43" t="s">
        <v>57</v>
      </c>
      <c r="D43" t="s">
        <v>97</v>
      </c>
      <c r="E43" t="s">
        <v>98</v>
      </c>
      <c r="F43" t="s">
        <v>99</v>
      </c>
      <c r="G43" t="s">
        <v>102</v>
      </c>
      <c r="H43" t="s">
        <v>101</v>
      </c>
      <c r="I43" t="s">
        <v>100</v>
      </c>
      <c r="J43" t="s">
        <v>103</v>
      </c>
    </row>
    <row r="44" spans="1:13" x14ac:dyDescent="0.25">
      <c r="A44">
        <v>5</v>
      </c>
      <c r="B44" t="s">
        <v>96</v>
      </c>
      <c r="C44" t="s">
        <v>57</v>
      </c>
      <c r="D44" t="s">
        <v>97</v>
      </c>
      <c r="E44" t="s">
        <v>98</v>
      </c>
      <c r="F44" t="s">
        <v>104</v>
      </c>
      <c r="G44" t="s">
        <v>102</v>
      </c>
      <c r="H44" t="s">
        <v>102</v>
      </c>
      <c r="I44" t="s">
        <v>105</v>
      </c>
      <c r="J44" t="s">
        <v>106</v>
      </c>
    </row>
    <row r="45" spans="1:13" x14ac:dyDescent="0.25">
      <c r="A45">
        <v>5</v>
      </c>
      <c r="B45" t="s">
        <v>96</v>
      </c>
      <c r="C45" t="s">
        <v>57</v>
      </c>
      <c r="D45" t="s">
        <v>97</v>
      </c>
      <c r="E45" t="s">
        <v>98</v>
      </c>
      <c r="F45" t="s">
        <v>107</v>
      </c>
      <c r="G45" t="s">
        <v>105</v>
      </c>
      <c r="H45" t="s">
        <v>105</v>
      </c>
      <c r="I45" t="s">
        <v>102</v>
      </c>
      <c r="J45" t="s">
        <v>108</v>
      </c>
    </row>
    <row r="46" spans="1:13" x14ac:dyDescent="0.25">
      <c r="A46">
        <v>5</v>
      </c>
      <c r="B46" t="s">
        <v>96</v>
      </c>
      <c r="C46" t="s">
        <v>57</v>
      </c>
      <c r="D46" t="s">
        <v>97</v>
      </c>
      <c r="E46" t="s">
        <v>98</v>
      </c>
      <c r="F46" t="s">
        <v>109</v>
      </c>
      <c r="G46" t="s">
        <v>102</v>
      </c>
      <c r="H46" t="s">
        <v>102</v>
      </c>
      <c r="I46" t="s">
        <v>105</v>
      </c>
      <c r="J46" t="s">
        <v>106</v>
      </c>
    </row>
    <row r="47" spans="1:13" x14ac:dyDescent="0.25">
      <c r="A47">
        <v>5</v>
      </c>
      <c r="B47" t="s">
        <v>96</v>
      </c>
      <c r="C47" t="s">
        <v>57</v>
      </c>
      <c r="D47" t="s">
        <v>97</v>
      </c>
      <c r="E47" t="s">
        <v>98</v>
      </c>
      <c r="F47" t="s">
        <v>110</v>
      </c>
      <c r="G47" t="s">
        <v>101</v>
      </c>
      <c r="H47" t="s">
        <v>101</v>
      </c>
      <c r="I47" t="s">
        <v>102</v>
      </c>
      <c r="J47" t="s">
        <v>108</v>
      </c>
    </row>
    <row r="48" spans="1:13" x14ac:dyDescent="0.25">
      <c r="A48">
        <v>5</v>
      </c>
      <c r="B48" t="s">
        <v>96</v>
      </c>
      <c r="C48" t="s">
        <v>57</v>
      </c>
      <c r="D48" t="s">
        <v>97</v>
      </c>
      <c r="E48" t="s">
        <v>98</v>
      </c>
      <c r="F48" t="s">
        <v>111</v>
      </c>
      <c r="G48" t="s">
        <v>105</v>
      </c>
      <c r="H48" t="s">
        <v>101</v>
      </c>
      <c r="I48" t="s">
        <v>102</v>
      </c>
      <c r="J48" t="s">
        <v>103</v>
      </c>
    </row>
    <row r="49" spans="1:1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5">
      <c r="F50" t="s">
        <v>722</v>
      </c>
    </row>
    <row r="51" spans="1:13" x14ac:dyDescent="0.25">
      <c r="F51" s="1" t="s">
        <v>721</v>
      </c>
      <c r="G51" s="1" t="s">
        <v>720</v>
      </c>
      <c r="H51" s="1" t="s">
        <v>8</v>
      </c>
      <c r="I51" s="1" t="s">
        <v>719</v>
      </c>
    </row>
    <row r="52" spans="1:13" x14ac:dyDescent="0.25">
      <c r="A52">
        <v>6</v>
      </c>
      <c r="B52" t="s">
        <v>112</v>
      </c>
      <c r="C52" t="s">
        <v>57</v>
      </c>
      <c r="D52" t="s">
        <v>113</v>
      </c>
      <c r="E52" t="s">
        <v>24</v>
      </c>
      <c r="F52" t="s">
        <v>114</v>
      </c>
      <c r="G52" t="s">
        <v>115</v>
      </c>
      <c r="H52" t="s">
        <v>116</v>
      </c>
      <c r="I52" t="s">
        <v>117</v>
      </c>
    </row>
    <row r="53" spans="1:13" x14ac:dyDescent="0.25">
      <c r="A53">
        <v>6</v>
      </c>
      <c r="B53" t="s">
        <v>112</v>
      </c>
      <c r="C53" t="s">
        <v>57</v>
      </c>
      <c r="D53" t="s">
        <v>113</v>
      </c>
      <c r="E53" t="s">
        <v>24</v>
      </c>
      <c r="F53" t="s">
        <v>118</v>
      </c>
      <c r="G53" t="s">
        <v>119</v>
      </c>
      <c r="H53" t="s">
        <v>120</v>
      </c>
      <c r="I53" t="s">
        <v>27</v>
      </c>
    </row>
    <row r="54" spans="1:13" x14ac:dyDescent="0.25">
      <c r="A54">
        <v>6</v>
      </c>
      <c r="B54" t="s">
        <v>112</v>
      </c>
      <c r="C54" t="s">
        <v>57</v>
      </c>
      <c r="D54" t="s">
        <v>113</v>
      </c>
      <c r="E54" t="s">
        <v>24</v>
      </c>
      <c r="F54" t="s">
        <v>118</v>
      </c>
      <c r="G54" t="s">
        <v>121</v>
      </c>
      <c r="H54" t="s">
        <v>122</v>
      </c>
      <c r="I54" t="s">
        <v>123</v>
      </c>
    </row>
    <row r="55" spans="1:13" x14ac:dyDescent="0.25">
      <c r="A55">
        <v>6</v>
      </c>
      <c r="B55" t="s">
        <v>112</v>
      </c>
      <c r="C55" t="s">
        <v>57</v>
      </c>
      <c r="D55" t="s">
        <v>113</v>
      </c>
      <c r="E55" t="s">
        <v>24</v>
      </c>
      <c r="F55" t="s">
        <v>124</v>
      </c>
      <c r="G55" t="s">
        <v>125</v>
      </c>
      <c r="H55" t="s">
        <v>126</v>
      </c>
      <c r="I55" t="s">
        <v>123</v>
      </c>
    </row>
    <row r="56" spans="1:13" x14ac:dyDescent="0.25">
      <c r="A56">
        <v>6</v>
      </c>
      <c r="B56" t="s">
        <v>112</v>
      </c>
      <c r="C56" t="s">
        <v>57</v>
      </c>
      <c r="D56" t="s">
        <v>113</v>
      </c>
      <c r="E56" t="s">
        <v>24</v>
      </c>
      <c r="F56" t="s">
        <v>127</v>
      </c>
      <c r="G56" t="s">
        <v>128</v>
      </c>
      <c r="H56" t="s">
        <v>129</v>
      </c>
      <c r="I56" t="s">
        <v>123</v>
      </c>
    </row>
    <row r="57" spans="1:13" x14ac:dyDescent="0.25">
      <c r="A57">
        <v>6</v>
      </c>
      <c r="B57" t="s">
        <v>112</v>
      </c>
      <c r="C57" t="s">
        <v>57</v>
      </c>
      <c r="D57" t="s">
        <v>113</v>
      </c>
      <c r="E57" t="s">
        <v>24</v>
      </c>
      <c r="F57" t="s">
        <v>130</v>
      </c>
      <c r="G57" t="s">
        <v>131</v>
      </c>
      <c r="H57" t="s">
        <v>132</v>
      </c>
      <c r="I57" t="s">
        <v>123</v>
      </c>
    </row>
    <row r="58" spans="1:13" x14ac:dyDescent="0.25">
      <c r="A58">
        <v>6</v>
      </c>
      <c r="B58" t="s">
        <v>112</v>
      </c>
      <c r="C58" t="s">
        <v>57</v>
      </c>
      <c r="D58" t="s">
        <v>113</v>
      </c>
      <c r="E58" t="s">
        <v>24</v>
      </c>
      <c r="F58" t="s">
        <v>130</v>
      </c>
      <c r="G58" t="s">
        <v>133</v>
      </c>
      <c r="H58" t="s">
        <v>134</v>
      </c>
      <c r="I58" t="s">
        <v>123</v>
      </c>
    </row>
    <row r="59" spans="1:13" x14ac:dyDescent="0.25">
      <c r="A59">
        <v>6</v>
      </c>
      <c r="B59" t="s">
        <v>112</v>
      </c>
      <c r="C59" t="s">
        <v>57</v>
      </c>
      <c r="D59" t="s">
        <v>113</v>
      </c>
      <c r="E59" t="s">
        <v>24</v>
      </c>
      <c r="F59" t="s">
        <v>130</v>
      </c>
      <c r="G59" t="s">
        <v>135</v>
      </c>
      <c r="H59" t="s">
        <v>136</v>
      </c>
      <c r="I59" t="s">
        <v>123</v>
      </c>
    </row>
    <row r="60" spans="1:13" x14ac:dyDescent="0.25">
      <c r="A60">
        <v>6</v>
      </c>
      <c r="B60" t="s">
        <v>112</v>
      </c>
      <c r="C60" t="s">
        <v>57</v>
      </c>
      <c r="D60" t="s">
        <v>113</v>
      </c>
      <c r="E60" t="s">
        <v>24</v>
      </c>
      <c r="F60" t="s">
        <v>137</v>
      </c>
      <c r="G60" t="s">
        <v>138</v>
      </c>
      <c r="H60" t="s">
        <v>139</v>
      </c>
      <c r="I60" t="s">
        <v>123</v>
      </c>
    </row>
    <row r="61" spans="1:13" x14ac:dyDescent="0.25">
      <c r="A61">
        <v>6</v>
      </c>
      <c r="B61" t="s">
        <v>112</v>
      </c>
      <c r="C61" t="s">
        <v>57</v>
      </c>
      <c r="D61" t="s">
        <v>113</v>
      </c>
      <c r="E61" t="s">
        <v>24</v>
      </c>
      <c r="F61" t="s">
        <v>137</v>
      </c>
      <c r="G61" t="s">
        <v>140</v>
      </c>
      <c r="H61" t="s">
        <v>141</v>
      </c>
      <c r="I61" t="s">
        <v>142</v>
      </c>
    </row>
    <row r="62" spans="1:13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25">
      <c r="F63" s="1" t="s">
        <v>608</v>
      </c>
      <c r="G63" s="1" t="s">
        <v>8</v>
      </c>
      <c r="H63" s="1" t="s">
        <v>13</v>
      </c>
      <c r="I63" s="1" t="s">
        <v>7</v>
      </c>
    </row>
    <row r="64" spans="1:13" x14ac:dyDescent="0.25">
      <c r="A64">
        <v>7</v>
      </c>
      <c r="B64" t="s">
        <v>143</v>
      </c>
      <c r="C64" t="s">
        <v>57</v>
      </c>
      <c r="D64" t="s">
        <v>144</v>
      </c>
      <c r="E64" t="s">
        <v>145</v>
      </c>
      <c r="F64" t="s">
        <v>146</v>
      </c>
      <c r="G64" t="s">
        <v>126</v>
      </c>
      <c r="H64" t="s">
        <v>148</v>
      </c>
      <c r="I64" t="s">
        <v>147</v>
      </c>
    </row>
    <row r="65" spans="1:13" x14ac:dyDescent="0.25">
      <c r="A65">
        <v>7</v>
      </c>
      <c r="B65" t="s">
        <v>143</v>
      </c>
      <c r="C65" t="s">
        <v>57</v>
      </c>
      <c r="D65" t="s">
        <v>144</v>
      </c>
      <c r="E65" t="s">
        <v>145</v>
      </c>
      <c r="F65" t="s">
        <v>149</v>
      </c>
      <c r="G65" t="s">
        <v>126</v>
      </c>
      <c r="H65" t="s">
        <v>151</v>
      </c>
      <c r="I65" t="s">
        <v>150</v>
      </c>
    </row>
    <row r="66" spans="1:13" x14ac:dyDescent="0.25">
      <c r="A66">
        <v>7</v>
      </c>
      <c r="B66" t="s">
        <v>143</v>
      </c>
      <c r="C66" t="s">
        <v>57</v>
      </c>
      <c r="D66" t="s">
        <v>144</v>
      </c>
      <c r="E66" t="s">
        <v>145</v>
      </c>
      <c r="F66" t="s">
        <v>152</v>
      </c>
      <c r="G66" t="s">
        <v>126</v>
      </c>
      <c r="H66" t="s">
        <v>151</v>
      </c>
      <c r="I66" t="s">
        <v>150</v>
      </c>
    </row>
    <row r="67" spans="1:13" x14ac:dyDescent="0.25">
      <c r="A67">
        <v>7</v>
      </c>
      <c r="B67" t="s">
        <v>143</v>
      </c>
      <c r="C67" t="s">
        <v>57</v>
      </c>
      <c r="D67" t="s">
        <v>144</v>
      </c>
      <c r="E67" t="s">
        <v>145</v>
      </c>
      <c r="F67" t="s">
        <v>153</v>
      </c>
      <c r="G67" t="s">
        <v>155</v>
      </c>
      <c r="H67" t="s">
        <v>30</v>
      </c>
      <c r="I67" t="s">
        <v>154</v>
      </c>
    </row>
    <row r="68" spans="1:13" x14ac:dyDescent="0.25">
      <c r="A68">
        <v>7</v>
      </c>
      <c r="B68" t="s">
        <v>143</v>
      </c>
      <c r="C68" t="s">
        <v>57</v>
      </c>
      <c r="D68" t="s">
        <v>144</v>
      </c>
      <c r="E68" t="s">
        <v>145</v>
      </c>
      <c r="F68" t="s">
        <v>156</v>
      </c>
      <c r="G68" t="s">
        <v>155</v>
      </c>
      <c r="H68" t="s">
        <v>148</v>
      </c>
      <c r="I68" t="s">
        <v>147</v>
      </c>
    </row>
    <row r="69" spans="1:13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25">
      <c r="F70" t="s">
        <v>715</v>
      </c>
    </row>
    <row r="71" spans="1:13" x14ac:dyDescent="0.25">
      <c r="F71" s="1" t="s">
        <v>718</v>
      </c>
      <c r="G71" s="1" t="s">
        <v>717</v>
      </c>
      <c r="H71" s="1" t="s">
        <v>8</v>
      </c>
      <c r="I71" s="1" t="s">
        <v>13</v>
      </c>
      <c r="J71" s="1" t="s">
        <v>7</v>
      </c>
      <c r="K71" s="1" t="s">
        <v>716</v>
      </c>
    </row>
    <row r="72" spans="1:13" x14ac:dyDescent="0.25">
      <c r="A72">
        <v>8</v>
      </c>
      <c r="B72" t="s">
        <v>157</v>
      </c>
      <c r="C72" t="s">
        <v>57</v>
      </c>
      <c r="D72" t="s">
        <v>158</v>
      </c>
      <c r="E72" t="s">
        <v>159</v>
      </c>
      <c r="F72" t="s">
        <v>160</v>
      </c>
      <c r="G72" t="s">
        <v>161</v>
      </c>
      <c r="H72" t="s">
        <v>163</v>
      </c>
      <c r="I72" t="s">
        <v>66</v>
      </c>
      <c r="J72" t="s">
        <v>162</v>
      </c>
      <c r="K72">
        <v>10</v>
      </c>
    </row>
    <row r="73" spans="1:13" x14ac:dyDescent="0.25">
      <c r="A73">
        <v>8</v>
      </c>
      <c r="B73" t="s">
        <v>157</v>
      </c>
      <c r="C73" t="s">
        <v>57</v>
      </c>
      <c r="D73" t="s">
        <v>158</v>
      </c>
      <c r="E73" t="s">
        <v>159</v>
      </c>
      <c r="F73" t="s">
        <v>160</v>
      </c>
      <c r="G73" t="s">
        <v>164</v>
      </c>
      <c r="H73" t="s">
        <v>29</v>
      </c>
      <c r="I73" t="s">
        <v>66</v>
      </c>
      <c r="J73" t="s">
        <v>165</v>
      </c>
      <c r="K73">
        <v>10</v>
      </c>
    </row>
    <row r="74" spans="1:13" x14ac:dyDescent="0.25">
      <c r="A74">
        <v>8</v>
      </c>
      <c r="B74" t="s">
        <v>157</v>
      </c>
      <c r="C74" t="s">
        <v>57</v>
      </c>
      <c r="D74" t="s">
        <v>158</v>
      </c>
      <c r="E74" t="s">
        <v>159</v>
      </c>
      <c r="F74" t="s">
        <v>160</v>
      </c>
      <c r="G74" t="s">
        <v>166</v>
      </c>
      <c r="H74" t="s">
        <v>167</v>
      </c>
      <c r="I74" t="s">
        <v>66</v>
      </c>
      <c r="J74" t="s">
        <v>165</v>
      </c>
      <c r="K74" t="s">
        <v>168</v>
      </c>
    </row>
    <row r="75" spans="1:13" x14ac:dyDescent="0.25">
      <c r="A75">
        <v>8</v>
      </c>
      <c r="B75" t="s">
        <v>157</v>
      </c>
      <c r="C75" t="s">
        <v>57</v>
      </c>
      <c r="D75" t="s">
        <v>158</v>
      </c>
      <c r="E75" t="s">
        <v>159</v>
      </c>
      <c r="F75" t="s">
        <v>160</v>
      </c>
      <c r="G75" t="s">
        <v>169</v>
      </c>
      <c r="H75" t="s">
        <v>170</v>
      </c>
      <c r="I75" t="s">
        <v>66</v>
      </c>
      <c r="J75" t="s">
        <v>165</v>
      </c>
      <c r="K75" t="s">
        <v>168</v>
      </c>
    </row>
    <row r="76" spans="1:13" x14ac:dyDescent="0.25">
      <c r="A76">
        <v>8</v>
      </c>
      <c r="B76" t="s">
        <v>157</v>
      </c>
      <c r="C76" t="s">
        <v>57</v>
      </c>
      <c r="D76" t="s">
        <v>158</v>
      </c>
      <c r="E76" t="s">
        <v>159</v>
      </c>
      <c r="F76" t="s">
        <v>160</v>
      </c>
      <c r="G76" t="s">
        <v>171</v>
      </c>
      <c r="H76" t="s">
        <v>172</v>
      </c>
      <c r="I76" t="s">
        <v>173</v>
      </c>
      <c r="J76" t="s">
        <v>162</v>
      </c>
      <c r="K76" t="s">
        <v>168</v>
      </c>
    </row>
    <row r="77" spans="1:13" x14ac:dyDescent="0.25">
      <c r="A77">
        <v>8</v>
      </c>
      <c r="B77" t="s">
        <v>157</v>
      </c>
      <c r="C77" t="s">
        <v>57</v>
      </c>
      <c r="D77" t="s">
        <v>158</v>
      </c>
      <c r="E77" t="s">
        <v>159</v>
      </c>
      <c r="F77" t="s">
        <v>160</v>
      </c>
      <c r="G77" t="s">
        <v>174</v>
      </c>
      <c r="H77" t="s">
        <v>172</v>
      </c>
      <c r="I77" t="s">
        <v>173</v>
      </c>
      <c r="J77" t="s">
        <v>165</v>
      </c>
      <c r="K77" t="s">
        <v>168</v>
      </c>
    </row>
    <row r="78" spans="1:13" x14ac:dyDescent="0.25">
      <c r="A78">
        <v>8</v>
      </c>
      <c r="B78" t="s">
        <v>157</v>
      </c>
      <c r="C78" t="s">
        <v>57</v>
      </c>
      <c r="D78" t="s">
        <v>158</v>
      </c>
      <c r="E78" t="s">
        <v>159</v>
      </c>
      <c r="F78" t="s">
        <v>160</v>
      </c>
      <c r="G78" t="s">
        <v>175</v>
      </c>
      <c r="H78" t="s">
        <v>176</v>
      </c>
      <c r="I78" t="s">
        <v>66</v>
      </c>
      <c r="J78" t="s">
        <v>165</v>
      </c>
      <c r="K78">
        <v>14</v>
      </c>
    </row>
    <row r="79" spans="1:13" x14ac:dyDescent="0.25">
      <c r="A79">
        <v>8</v>
      </c>
      <c r="B79" t="s">
        <v>157</v>
      </c>
      <c r="C79" t="s">
        <v>57</v>
      </c>
      <c r="D79" t="s">
        <v>158</v>
      </c>
      <c r="E79" t="s">
        <v>159</v>
      </c>
      <c r="F79" t="s">
        <v>160</v>
      </c>
      <c r="G79" t="s">
        <v>25</v>
      </c>
      <c r="H79" t="s">
        <v>29</v>
      </c>
      <c r="I79" t="s">
        <v>66</v>
      </c>
      <c r="J79" t="s">
        <v>165</v>
      </c>
      <c r="K79">
        <v>14</v>
      </c>
    </row>
    <row r="80" spans="1:13" x14ac:dyDescent="0.25">
      <c r="A80">
        <v>8</v>
      </c>
      <c r="B80" t="s">
        <v>157</v>
      </c>
      <c r="C80" t="s">
        <v>57</v>
      </c>
      <c r="D80" t="s">
        <v>158</v>
      </c>
      <c r="E80" t="s">
        <v>159</v>
      </c>
      <c r="F80" t="s">
        <v>160</v>
      </c>
      <c r="G80" t="s">
        <v>177</v>
      </c>
      <c r="H80" t="s">
        <v>178</v>
      </c>
      <c r="I80" t="s">
        <v>66</v>
      </c>
      <c r="J80" t="s">
        <v>165</v>
      </c>
      <c r="K80">
        <v>10</v>
      </c>
    </row>
    <row r="81" spans="1:11" x14ac:dyDescent="0.25">
      <c r="A81">
        <v>8</v>
      </c>
      <c r="B81" t="s">
        <v>157</v>
      </c>
      <c r="C81" t="s">
        <v>57</v>
      </c>
      <c r="D81" t="s">
        <v>158</v>
      </c>
      <c r="E81" t="s">
        <v>159</v>
      </c>
      <c r="F81" t="s">
        <v>160</v>
      </c>
      <c r="G81" t="s">
        <v>179</v>
      </c>
      <c r="H81" t="s">
        <v>178</v>
      </c>
      <c r="I81" t="s">
        <v>66</v>
      </c>
      <c r="J81" t="s">
        <v>162</v>
      </c>
      <c r="K81">
        <v>10</v>
      </c>
    </row>
    <row r="82" spans="1:11" x14ac:dyDescent="0.25">
      <c r="A82">
        <v>8</v>
      </c>
      <c r="B82" t="s">
        <v>157</v>
      </c>
      <c r="C82" t="s">
        <v>57</v>
      </c>
      <c r="D82" t="s">
        <v>158</v>
      </c>
      <c r="E82" t="s">
        <v>159</v>
      </c>
      <c r="F82" t="s">
        <v>160</v>
      </c>
      <c r="G82" t="s">
        <v>180</v>
      </c>
      <c r="H82" t="s">
        <v>181</v>
      </c>
      <c r="I82" t="s">
        <v>66</v>
      </c>
      <c r="J82" t="s">
        <v>165</v>
      </c>
      <c r="K82">
        <v>10</v>
      </c>
    </row>
    <row r="83" spans="1:11" x14ac:dyDescent="0.25">
      <c r="A83">
        <v>8</v>
      </c>
      <c r="B83" t="s">
        <v>157</v>
      </c>
      <c r="C83" t="s">
        <v>57</v>
      </c>
      <c r="D83" t="s">
        <v>158</v>
      </c>
      <c r="E83" t="s">
        <v>159</v>
      </c>
      <c r="F83" t="s">
        <v>182</v>
      </c>
      <c r="G83" t="s">
        <v>183</v>
      </c>
      <c r="H83" t="s">
        <v>33</v>
      </c>
      <c r="I83" t="s">
        <v>173</v>
      </c>
      <c r="J83" t="s">
        <v>184</v>
      </c>
      <c r="K83" t="s">
        <v>27</v>
      </c>
    </row>
    <row r="84" spans="1:11" x14ac:dyDescent="0.25">
      <c r="A84">
        <v>8</v>
      </c>
      <c r="B84" t="s">
        <v>157</v>
      </c>
      <c r="C84" t="s">
        <v>57</v>
      </c>
      <c r="D84" t="s">
        <v>158</v>
      </c>
      <c r="E84" t="s">
        <v>159</v>
      </c>
      <c r="F84" t="s">
        <v>182</v>
      </c>
      <c r="G84" t="s">
        <v>185</v>
      </c>
      <c r="H84" t="s">
        <v>33</v>
      </c>
      <c r="I84" t="s">
        <v>27</v>
      </c>
      <c r="J84" t="s">
        <v>186</v>
      </c>
      <c r="K84" t="s">
        <v>187</v>
      </c>
    </row>
    <row r="85" spans="1:11" x14ac:dyDescent="0.25">
      <c r="A85">
        <v>8</v>
      </c>
      <c r="B85" t="s">
        <v>157</v>
      </c>
      <c r="C85" t="s">
        <v>57</v>
      </c>
      <c r="D85" t="s">
        <v>158</v>
      </c>
      <c r="E85" t="s">
        <v>159</v>
      </c>
      <c r="F85" t="s">
        <v>182</v>
      </c>
      <c r="G85" t="s">
        <v>188</v>
      </c>
      <c r="H85" t="s">
        <v>170</v>
      </c>
      <c r="I85" t="s">
        <v>189</v>
      </c>
      <c r="J85" t="s">
        <v>184</v>
      </c>
      <c r="K85" t="s">
        <v>27</v>
      </c>
    </row>
    <row r="86" spans="1:11" x14ac:dyDescent="0.25">
      <c r="A86">
        <v>8</v>
      </c>
      <c r="B86" t="s">
        <v>157</v>
      </c>
      <c r="C86" t="s">
        <v>57</v>
      </c>
      <c r="D86" t="s">
        <v>158</v>
      </c>
      <c r="E86" t="s">
        <v>159</v>
      </c>
      <c r="F86" t="s">
        <v>182</v>
      </c>
      <c r="G86" t="s">
        <v>190</v>
      </c>
      <c r="H86" t="s">
        <v>192</v>
      </c>
      <c r="I86" t="s">
        <v>193</v>
      </c>
      <c r="J86" t="s">
        <v>191</v>
      </c>
      <c r="K86" t="s">
        <v>27</v>
      </c>
    </row>
    <row r="87" spans="1:11" x14ac:dyDescent="0.25">
      <c r="A87">
        <v>8</v>
      </c>
      <c r="B87" t="s">
        <v>157</v>
      </c>
      <c r="C87" t="s">
        <v>57</v>
      </c>
      <c r="D87" t="s">
        <v>158</v>
      </c>
      <c r="E87" t="s">
        <v>159</v>
      </c>
      <c r="F87" t="s">
        <v>194</v>
      </c>
      <c r="G87" t="s">
        <v>195</v>
      </c>
      <c r="H87" t="s">
        <v>197</v>
      </c>
      <c r="I87" t="s">
        <v>193</v>
      </c>
      <c r="J87" t="s">
        <v>196</v>
      </c>
      <c r="K87">
        <v>10</v>
      </c>
    </row>
    <row r="88" spans="1:11" x14ac:dyDescent="0.25">
      <c r="A88">
        <v>8</v>
      </c>
      <c r="B88" t="s">
        <v>157</v>
      </c>
      <c r="C88" t="s">
        <v>57</v>
      </c>
      <c r="D88" t="s">
        <v>158</v>
      </c>
      <c r="E88" t="s">
        <v>159</v>
      </c>
      <c r="F88" t="s">
        <v>194</v>
      </c>
      <c r="G88" t="s">
        <v>198</v>
      </c>
      <c r="H88" t="s">
        <v>170</v>
      </c>
      <c r="I88" t="s">
        <v>199</v>
      </c>
      <c r="J88" t="s">
        <v>196</v>
      </c>
      <c r="K88">
        <v>100</v>
      </c>
    </row>
    <row r="89" spans="1:11" x14ac:dyDescent="0.25">
      <c r="A89">
        <v>8</v>
      </c>
      <c r="B89" t="s">
        <v>157</v>
      </c>
      <c r="C89" t="s">
        <v>57</v>
      </c>
      <c r="D89" t="s">
        <v>158</v>
      </c>
      <c r="E89" t="s">
        <v>159</v>
      </c>
      <c r="F89" t="s">
        <v>200</v>
      </c>
      <c r="G89" t="s">
        <v>201</v>
      </c>
      <c r="H89" t="s">
        <v>203</v>
      </c>
      <c r="I89" t="s">
        <v>204</v>
      </c>
      <c r="J89" t="s">
        <v>202</v>
      </c>
      <c r="K89">
        <v>900</v>
      </c>
    </row>
    <row r="90" spans="1:11" x14ac:dyDescent="0.25">
      <c r="A90">
        <v>8</v>
      </c>
      <c r="B90" t="s">
        <v>157</v>
      </c>
      <c r="C90" t="s">
        <v>57</v>
      </c>
      <c r="D90" t="s">
        <v>158</v>
      </c>
      <c r="E90" t="s">
        <v>159</v>
      </c>
      <c r="F90" t="s">
        <v>200</v>
      </c>
      <c r="G90" t="s">
        <v>205</v>
      </c>
      <c r="H90" t="s">
        <v>176</v>
      </c>
      <c r="I90" t="s">
        <v>204</v>
      </c>
      <c r="J90" t="s">
        <v>206</v>
      </c>
      <c r="K90" t="s">
        <v>207</v>
      </c>
    </row>
    <row r="91" spans="1:11" x14ac:dyDescent="0.25">
      <c r="A91">
        <v>8</v>
      </c>
      <c r="B91" t="s">
        <v>157</v>
      </c>
      <c r="C91" t="s">
        <v>57</v>
      </c>
      <c r="D91" t="s">
        <v>158</v>
      </c>
      <c r="E91" t="s">
        <v>159</v>
      </c>
      <c r="F91" t="s">
        <v>200</v>
      </c>
      <c r="G91" t="s">
        <v>208</v>
      </c>
      <c r="H91" t="s">
        <v>176</v>
      </c>
      <c r="I91" t="s">
        <v>204</v>
      </c>
      <c r="J91" t="s">
        <v>209</v>
      </c>
      <c r="K91">
        <v>60</v>
      </c>
    </row>
    <row r="92" spans="1:11" x14ac:dyDescent="0.25">
      <c r="A92">
        <v>8</v>
      </c>
      <c r="B92" t="s">
        <v>157</v>
      </c>
      <c r="C92" t="s">
        <v>57</v>
      </c>
      <c r="D92" t="s">
        <v>158</v>
      </c>
      <c r="E92" t="s">
        <v>159</v>
      </c>
      <c r="F92" t="s">
        <v>200</v>
      </c>
      <c r="G92" t="s">
        <v>210</v>
      </c>
      <c r="H92" t="s">
        <v>212</v>
      </c>
      <c r="I92" t="s">
        <v>204</v>
      </c>
      <c r="J92" t="s">
        <v>211</v>
      </c>
      <c r="K92">
        <v>60</v>
      </c>
    </row>
    <row r="93" spans="1:11" x14ac:dyDescent="0.25">
      <c r="A93">
        <v>8</v>
      </c>
      <c r="B93" t="s">
        <v>157</v>
      </c>
      <c r="C93" t="s">
        <v>57</v>
      </c>
      <c r="D93" t="s">
        <v>158</v>
      </c>
      <c r="E93" t="s">
        <v>159</v>
      </c>
      <c r="F93" t="s">
        <v>200</v>
      </c>
      <c r="G93" t="s">
        <v>213</v>
      </c>
      <c r="H93" t="s">
        <v>203</v>
      </c>
      <c r="I93" t="s">
        <v>204</v>
      </c>
      <c r="J93" t="s">
        <v>209</v>
      </c>
      <c r="K93">
        <v>700</v>
      </c>
    </row>
    <row r="94" spans="1:11" x14ac:dyDescent="0.25">
      <c r="A94">
        <v>8</v>
      </c>
      <c r="B94" t="s">
        <v>157</v>
      </c>
      <c r="C94" t="s">
        <v>57</v>
      </c>
      <c r="D94" t="s">
        <v>158</v>
      </c>
      <c r="E94" t="s">
        <v>159</v>
      </c>
      <c r="F94" t="s">
        <v>214</v>
      </c>
      <c r="G94" t="s">
        <v>215</v>
      </c>
      <c r="H94" t="s">
        <v>217</v>
      </c>
      <c r="I94" t="s">
        <v>193</v>
      </c>
      <c r="J94" t="s">
        <v>216</v>
      </c>
      <c r="K94">
        <v>480</v>
      </c>
    </row>
    <row r="95" spans="1:11" x14ac:dyDescent="0.25">
      <c r="A95">
        <v>8</v>
      </c>
      <c r="B95" t="s">
        <v>157</v>
      </c>
      <c r="C95" t="s">
        <v>57</v>
      </c>
      <c r="D95" t="s">
        <v>158</v>
      </c>
      <c r="E95" t="s">
        <v>159</v>
      </c>
      <c r="F95" t="s">
        <v>214</v>
      </c>
      <c r="G95" t="s">
        <v>218</v>
      </c>
      <c r="H95" t="s">
        <v>142</v>
      </c>
      <c r="I95" t="s">
        <v>193</v>
      </c>
      <c r="J95" t="s">
        <v>196</v>
      </c>
      <c r="K95">
        <v>10</v>
      </c>
    </row>
    <row r="96" spans="1:11" x14ac:dyDescent="0.25">
      <c r="A96">
        <v>8</v>
      </c>
      <c r="B96" t="s">
        <v>157</v>
      </c>
      <c r="C96" t="s">
        <v>57</v>
      </c>
      <c r="D96" t="s">
        <v>158</v>
      </c>
      <c r="E96" t="s">
        <v>159</v>
      </c>
      <c r="F96" t="s">
        <v>214</v>
      </c>
      <c r="G96" t="s">
        <v>219</v>
      </c>
      <c r="H96" t="s">
        <v>142</v>
      </c>
      <c r="I96" t="s">
        <v>189</v>
      </c>
      <c r="J96" t="s">
        <v>196</v>
      </c>
      <c r="K96">
        <v>10</v>
      </c>
    </row>
    <row r="97" spans="1:13" x14ac:dyDescent="0.25">
      <c r="A97">
        <v>8</v>
      </c>
      <c r="B97" t="s">
        <v>157</v>
      </c>
      <c r="C97" t="s">
        <v>57</v>
      </c>
      <c r="D97" t="s">
        <v>158</v>
      </c>
      <c r="E97" t="s">
        <v>159</v>
      </c>
      <c r="F97" t="s">
        <v>214</v>
      </c>
      <c r="G97" t="s">
        <v>220</v>
      </c>
      <c r="H97" t="s">
        <v>176</v>
      </c>
      <c r="I97" t="s">
        <v>173</v>
      </c>
      <c r="J97" t="s">
        <v>196</v>
      </c>
      <c r="K97">
        <v>10</v>
      </c>
    </row>
    <row r="98" spans="1:13" x14ac:dyDescent="0.25">
      <c r="A98">
        <v>8</v>
      </c>
      <c r="B98" t="s">
        <v>157</v>
      </c>
      <c r="C98" t="s">
        <v>57</v>
      </c>
      <c r="D98" t="s">
        <v>158</v>
      </c>
      <c r="E98" t="s">
        <v>159</v>
      </c>
      <c r="F98" t="s">
        <v>214</v>
      </c>
      <c r="G98" t="s">
        <v>221</v>
      </c>
      <c r="H98" t="s">
        <v>176</v>
      </c>
      <c r="I98" t="s">
        <v>173</v>
      </c>
      <c r="J98" t="s">
        <v>196</v>
      </c>
      <c r="K98">
        <v>10</v>
      </c>
    </row>
    <row r="99" spans="1:13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x14ac:dyDescent="0.25">
      <c r="F100" s="1" t="s">
        <v>734</v>
      </c>
      <c r="G100" s="1" t="s">
        <v>713</v>
      </c>
      <c r="H100" s="1" t="s">
        <v>712</v>
      </c>
      <c r="I100" s="1" t="s">
        <v>8</v>
      </c>
      <c r="J100" s="1" t="s">
        <v>711</v>
      </c>
      <c r="K100" s="1" t="s">
        <v>714</v>
      </c>
    </row>
    <row r="101" spans="1:13" x14ac:dyDescent="0.25">
      <c r="A101">
        <v>9</v>
      </c>
      <c r="B101" t="s">
        <v>222</v>
      </c>
      <c r="C101" t="s">
        <v>223</v>
      </c>
      <c r="D101" t="s">
        <v>224</v>
      </c>
      <c r="E101" t="s">
        <v>59</v>
      </c>
      <c r="F101" t="s">
        <v>225</v>
      </c>
      <c r="G101" t="s">
        <v>226</v>
      </c>
      <c r="H101" t="s">
        <v>167</v>
      </c>
      <c r="I101" t="s">
        <v>167</v>
      </c>
      <c r="J101" t="s">
        <v>26</v>
      </c>
      <c r="K101" t="s">
        <v>227</v>
      </c>
    </row>
    <row r="102" spans="1:13" x14ac:dyDescent="0.25">
      <c r="A102">
        <v>9</v>
      </c>
      <c r="B102" t="s">
        <v>222</v>
      </c>
      <c r="C102" t="s">
        <v>223</v>
      </c>
      <c r="D102" t="s">
        <v>224</v>
      </c>
      <c r="E102" t="s">
        <v>59</v>
      </c>
      <c r="F102" t="s">
        <v>225</v>
      </c>
      <c r="G102" t="s">
        <v>229</v>
      </c>
      <c r="H102" t="s">
        <v>29</v>
      </c>
      <c r="I102" t="s">
        <v>29</v>
      </c>
      <c r="J102" t="s">
        <v>228</v>
      </c>
      <c r="K102" t="s">
        <v>230</v>
      </c>
    </row>
    <row r="103" spans="1:13" x14ac:dyDescent="0.25">
      <c r="A103">
        <v>9</v>
      </c>
      <c r="B103" t="s">
        <v>222</v>
      </c>
      <c r="C103" t="s">
        <v>223</v>
      </c>
      <c r="D103" t="s">
        <v>224</v>
      </c>
      <c r="E103" t="s">
        <v>59</v>
      </c>
      <c r="F103" t="s">
        <v>225</v>
      </c>
      <c r="G103" t="s">
        <v>229</v>
      </c>
      <c r="H103" t="s">
        <v>163</v>
      </c>
      <c r="I103" t="s">
        <v>163</v>
      </c>
      <c r="J103" t="s">
        <v>231</v>
      </c>
      <c r="K103" t="s">
        <v>232</v>
      </c>
    </row>
    <row r="104" spans="1:13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25">
      <c r="F105" s="1" t="s">
        <v>704</v>
      </c>
      <c r="G105" s="1" t="s">
        <v>576</v>
      </c>
      <c r="H105" s="1" t="s">
        <v>8</v>
      </c>
      <c r="I105" s="1" t="s">
        <v>705</v>
      </c>
      <c r="J105" s="1" t="s">
        <v>13</v>
      </c>
      <c r="K105" s="1" t="s">
        <v>14</v>
      </c>
    </row>
    <row r="106" spans="1:13" x14ac:dyDescent="0.25">
      <c r="A106">
        <v>10</v>
      </c>
      <c r="B106" t="s">
        <v>233</v>
      </c>
      <c r="C106" t="s">
        <v>223</v>
      </c>
      <c r="D106" t="s">
        <v>234</v>
      </c>
      <c r="E106" t="s">
        <v>235</v>
      </c>
      <c r="F106" t="s">
        <v>236</v>
      </c>
      <c r="G106" t="s">
        <v>237</v>
      </c>
      <c r="H106" t="s">
        <v>238</v>
      </c>
      <c r="I106" t="s">
        <v>241</v>
      </c>
      <c r="J106" t="s">
        <v>239</v>
      </c>
      <c r="K106" t="s">
        <v>240</v>
      </c>
    </row>
    <row r="107" spans="1:13" x14ac:dyDescent="0.25">
      <c r="A107">
        <v>10</v>
      </c>
      <c r="B107" t="s">
        <v>233</v>
      </c>
      <c r="C107" t="s">
        <v>223</v>
      </c>
      <c r="D107" t="s">
        <v>234</v>
      </c>
      <c r="E107" t="s">
        <v>235</v>
      </c>
      <c r="F107" t="s">
        <v>242</v>
      </c>
      <c r="G107" t="s">
        <v>243</v>
      </c>
      <c r="H107" t="s">
        <v>244</v>
      </c>
      <c r="I107" t="s">
        <v>246</v>
      </c>
      <c r="J107" t="s">
        <v>239</v>
      </c>
      <c r="K107" t="s">
        <v>245</v>
      </c>
    </row>
    <row r="108" spans="1:13" x14ac:dyDescent="0.25">
      <c r="A108">
        <v>10</v>
      </c>
      <c r="B108" t="s">
        <v>233</v>
      </c>
      <c r="C108" t="s">
        <v>223</v>
      </c>
      <c r="D108" t="s">
        <v>234</v>
      </c>
      <c r="E108" t="s">
        <v>235</v>
      </c>
      <c r="F108" t="s">
        <v>247</v>
      </c>
      <c r="G108" t="s">
        <v>248</v>
      </c>
      <c r="H108" t="s">
        <v>244</v>
      </c>
      <c r="I108" t="s">
        <v>246</v>
      </c>
      <c r="J108" s="2" t="s">
        <v>249</v>
      </c>
      <c r="K108" t="s">
        <v>245</v>
      </c>
    </row>
    <row r="109" spans="1:13" x14ac:dyDescent="0.25">
      <c r="A109">
        <v>10</v>
      </c>
      <c r="B109" t="s">
        <v>233</v>
      </c>
      <c r="C109" t="s">
        <v>223</v>
      </c>
      <c r="D109" t="s">
        <v>234</v>
      </c>
      <c r="E109" t="s">
        <v>235</v>
      </c>
      <c r="F109" t="s">
        <v>250</v>
      </c>
      <c r="G109" t="s">
        <v>248</v>
      </c>
      <c r="H109" t="s">
        <v>251</v>
      </c>
      <c r="I109" t="s">
        <v>252</v>
      </c>
      <c r="J109" s="2" t="s">
        <v>249</v>
      </c>
      <c r="K109" t="s">
        <v>245</v>
      </c>
    </row>
    <row r="110" spans="1:13" x14ac:dyDescent="0.25">
      <c r="A110">
        <v>10</v>
      </c>
      <c r="B110" t="s">
        <v>233</v>
      </c>
      <c r="C110" t="s">
        <v>223</v>
      </c>
      <c r="D110" t="s">
        <v>234</v>
      </c>
      <c r="E110" t="s">
        <v>235</v>
      </c>
      <c r="F110" t="s">
        <v>253</v>
      </c>
      <c r="G110" t="s">
        <v>248</v>
      </c>
      <c r="H110" t="s">
        <v>251</v>
      </c>
      <c r="I110" t="s">
        <v>246</v>
      </c>
      <c r="J110" s="2" t="s">
        <v>249</v>
      </c>
      <c r="K110" t="s">
        <v>245</v>
      </c>
    </row>
    <row r="111" spans="1:13" x14ac:dyDescent="0.25">
      <c r="A111">
        <v>10</v>
      </c>
      <c r="B111" t="s">
        <v>233</v>
      </c>
      <c r="C111" t="s">
        <v>223</v>
      </c>
      <c r="D111" t="s">
        <v>234</v>
      </c>
      <c r="E111" t="s">
        <v>235</v>
      </c>
      <c r="F111" t="s">
        <v>254</v>
      </c>
      <c r="G111" t="s">
        <v>243</v>
      </c>
      <c r="H111" t="s">
        <v>255</v>
      </c>
      <c r="I111">
        <v>50</v>
      </c>
      <c r="J111" s="2">
        <v>0.98</v>
      </c>
      <c r="K111" t="s">
        <v>240</v>
      </c>
    </row>
    <row r="112" spans="1:13" x14ac:dyDescent="0.25">
      <c r="F112" t="s">
        <v>703</v>
      </c>
    </row>
    <row r="113" spans="1:13" x14ac:dyDescent="0.25">
      <c r="F113" s="1" t="s">
        <v>5</v>
      </c>
      <c r="G113" s="1" t="s">
        <v>14</v>
      </c>
      <c r="H113" s="1" t="s">
        <v>702</v>
      </c>
    </row>
    <row r="114" spans="1:13" x14ac:dyDescent="0.25">
      <c r="A114">
        <v>10</v>
      </c>
      <c r="B114" t="s">
        <v>233</v>
      </c>
      <c r="C114" t="s">
        <v>223</v>
      </c>
      <c r="D114" t="s">
        <v>234</v>
      </c>
      <c r="E114" t="s">
        <v>59</v>
      </c>
      <c r="F114" t="s">
        <v>256</v>
      </c>
      <c r="G114" t="s">
        <v>258</v>
      </c>
      <c r="H114" t="s">
        <v>257</v>
      </c>
    </row>
    <row r="115" spans="1:13" x14ac:dyDescent="0.25">
      <c r="A115">
        <v>10</v>
      </c>
      <c r="B115" t="s">
        <v>233</v>
      </c>
      <c r="C115" t="s">
        <v>223</v>
      </c>
      <c r="D115" t="s">
        <v>234</v>
      </c>
      <c r="E115" t="s">
        <v>59</v>
      </c>
      <c r="F115" t="s">
        <v>259</v>
      </c>
      <c r="G115" t="s">
        <v>261</v>
      </c>
      <c r="H115" t="s">
        <v>260</v>
      </c>
    </row>
    <row r="116" spans="1:13" x14ac:dyDescent="0.25">
      <c r="A116">
        <v>10</v>
      </c>
      <c r="B116" t="s">
        <v>233</v>
      </c>
      <c r="C116" t="s">
        <v>223</v>
      </c>
      <c r="D116" t="s">
        <v>234</v>
      </c>
      <c r="E116" t="s">
        <v>59</v>
      </c>
      <c r="F116" t="s">
        <v>262</v>
      </c>
      <c r="G116" t="s">
        <v>264</v>
      </c>
      <c r="H116" t="s">
        <v>263</v>
      </c>
    </row>
    <row r="117" spans="1:13" x14ac:dyDescent="0.25">
      <c r="A117">
        <v>10</v>
      </c>
      <c r="B117" t="s">
        <v>233</v>
      </c>
      <c r="C117" t="s">
        <v>223</v>
      </c>
      <c r="D117" t="s">
        <v>234</v>
      </c>
      <c r="E117" t="s">
        <v>59</v>
      </c>
      <c r="F117" t="s">
        <v>265</v>
      </c>
      <c r="G117" t="s">
        <v>267</v>
      </c>
      <c r="H117" t="s">
        <v>266</v>
      </c>
    </row>
    <row r="118" spans="1:13" x14ac:dyDescent="0.25">
      <c r="A118">
        <v>10</v>
      </c>
      <c r="B118" t="s">
        <v>233</v>
      </c>
      <c r="C118" t="s">
        <v>223</v>
      </c>
      <c r="D118" t="s">
        <v>234</v>
      </c>
      <c r="E118" t="s">
        <v>59</v>
      </c>
      <c r="F118" t="s">
        <v>130</v>
      </c>
      <c r="G118" t="s">
        <v>269</v>
      </c>
      <c r="H118" t="s">
        <v>268</v>
      </c>
    </row>
    <row r="119" spans="1:13" x14ac:dyDescent="0.25">
      <c r="A119">
        <v>10</v>
      </c>
      <c r="B119" t="s">
        <v>233</v>
      </c>
      <c r="C119" t="s">
        <v>223</v>
      </c>
      <c r="D119" t="s">
        <v>234</v>
      </c>
      <c r="E119" t="s">
        <v>59</v>
      </c>
      <c r="F119" t="s">
        <v>270</v>
      </c>
      <c r="G119" t="s">
        <v>272</v>
      </c>
      <c r="H119" t="s">
        <v>271</v>
      </c>
    </row>
    <row r="120" spans="1:13" x14ac:dyDescent="0.25">
      <c r="A120">
        <v>10</v>
      </c>
      <c r="B120" t="s">
        <v>233</v>
      </c>
      <c r="C120" t="s">
        <v>223</v>
      </c>
      <c r="D120" t="s">
        <v>234</v>
      </c>
      <c r="E120" t="s">
        <v>59</v>
      </c>
      <c r="F120" t="s">
        <v>273</v>
      </c>
      <c r="G120" t="s">
        <v>275</v>
      </c>
      <c r="H120" t="s">
        <v>274</v>
      </c>
    </row>
    <row r="121" spans="1:13" x14ac:dyDescent="0.25">
      <c r="A121">
        <v>10</v>
      </c>
      <c r="B121" t="s">
        <v>233</v>
      </c>
      <c r="C121" t="s">
        <v>223</v>
      </c>
      <c r="D121" t="s">
        <v>234</v>
      </c>
      <c r="E121" t="s">
        <v>59</v>
      </c>
      <c r="F121" t="s">
        <v>276</v>
      </c>
      <c r="G121" t="s">
        <v>277</v>
      </c>
      <c r="H121" t="s">
        <v>268</v>
      </c>
    </row>
    <row r="122" spans="1:13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x14ac:dyDescent="0.25">
      <c r="F123" t="s">
        <v>707</v>
      </c>
    </row>
    <row r="124" spans="1:13" x14ac:dyDescent="0.25">
      <c r="F124" s="1" t="s">
        <v>706</v>
      </c>
      <c r="G124" s="1" t="s">
        <v>19</v>
      </c>
      <c r="H124" s="1" t="s">
        <v>20</v>
      </c>
      <c r="I124" s="1" t="s">
        <v>576</v>
      </c>
      <c r="J124" s="1" t="s">
        <v>8</v>
      </c>
      <c r="K124" s="1" t="s">
        <v>13</v>
      </c>
      <c r="L124" s="1" t="s">
        <v>11</v>
      </c>
    </row>
    <row r="125" spans="1:13" x14ac:dyDescent="0.25">
      <c r="A125">
        <v>11</v>
      </c>
      <c r="B125" t="s">
        <v>278</v>
      </c>
      <c r="C125" t="s">
        <v>279</v>
      </c>
      <c r="D125" t="s">
        <v>280</v>
      </c>
      <c r="E125" t="s">
        <v>59</v>
      </c>
      <c r="F125" t="s">
        <v>281</v>
      </c>
      <c r="G125" t="s">
        <v>284</v>
      </c>
      <c r="H125">
        <v>1</v>
      </c>
      <c r="I125" t="s">
        <v>282</v>
      </c>
      <c r="J125" t="s">
        <v>31</v>
      </c>
      <c r="K125" t="s">
        <v>30</v>
      </c>
      <c r="L125" t="s">
        <v>283</v>
      </c>
    </row>
    <row r="126" spans="1:13" x14ac:dyDescent="0.25">
      <c r="A126">
        <v>11</v>
      </c>
      <c r="B126" t="s">
        <v>278</v>
      </c>
      <c r="C126" t="s">
        <v>279</v>
      </c>
      <c r="D126" t="s">
        <v>280</v>
      </c>
      <c r="E126" t="s">
        <v>59</v>
      </c>
      <c r="F126" t="s">
        <v>285</v>
      </c>
      <c r="G126" t="s">
        <v>289</v>
      </c>
      <c r="H126">
        <v>2</v>
      </c>
      <c r="I126" t="s">
        <v>286</v>
      </c>
      <c r="J126" t="s">
        <v>287</v>
      </c>
      <c r="K126" t="s">
        <v>30</v>
      </c>
      <c r="L126" t="s">
        <v>288</v>
      </c>
    </row>
    <row r="127" spans="1:13" x14ac:dyDescent="0.25">
      <c r="A127">
        <v>11</v>
      </c>
      <c r="B127" t="s">
        <v>278</v>
      </c>
      <c r="C127" t="s">
        <v>279</v>
      </c>
      <c r="D127" t="s">
        <v>280</v>
      </c>
      <c r="E127" t="s">
        <v>59</v>
      </c>
      <c r="F127" t="s">
        <v>290</v>
      </c>
      <c r="G127" t="s">
        <v>292</v>
      </c>
      <c r="H127">
        <v>2</v>
      </c>
      <c r="I127" t="s">
        <v>291</v>
      </c>
      <c r="J127" t="s">
        <v>287</v>
      </c>
      <c r="K127" t="s">
        <v>30</v>
      </c>
      <c r="L127" t="s">
        <v>288</v>
      </c>
    </row>
    <row r="128" spans="1:13" x14ac:dyDescent="0.25">
      <c r="A128">
        <v>11</v>
      </c>
      <c r="B128" t="s">
        <v>278</v>
      </c>
      <c r="C128" t="s">
        <v>279</v>
      </c>
      <c r="D128" t="s">
        <v>280</v>
      </c>
      <c r="E128" t="s">
        <v>59</v>
      </c>
      <c r="F128" t="s">
        <v>293</v>
      </c>
      <c r="G128" t="s">
        <v>292</v>
      </c>
      <c r="H128">
        <v>3</v>
      </c>
      <c r="I128" t="s">
        <v>294</v>
      </c>
      <c r="J128" t="s">
        <v>295</v>
      </c>
      <c r="K128" t="s">
        <v>30</v>
      </c>
      <c r="L128" t="s">
        <v>288</v>
      </c>
    </row>
    <row r="129" spans="1:13" x14ac:dyDescent="0.25">
      <c r="A129">
        <v>11</v>
      </c>
      <c r="B129" t="s">
        <v>278</v>
      </c>
      <c r="C129" t="s">
        <v>279</v>
      </c>
      <c r="D129" t="s">
        <v>280</v>
      </c>
      <c r="E129" t="s">
        <v>59</v>
      </c>
      <c r="F129" t="s">
        <v>296</v>
      </c>
      <c r="G129" t="s">
        <v>292</v>
      </c>
      <c r="H129">
        <v>4</v>
      </c>
      <c r="I129" t="s">
        <v>297</v>
      </c>
      <c r="J129" t="s">
        <v>295</v>
      </c>
      <c r="K129" s="2">
        <v>0.99</v>
      </c>
      <c r="L129" t="s">
        <v>27</v>
      </c>
    </row>
    <row r="130" spans="1:13" x14ac:dyDescent="0.25">
      <c r="A130">
        <v>11</v>
      </c>
      <c r="B130" t="s">
        <v>278</v>
      </c>
      <c r="C130" t="s">
        <v>279</v>
      </c>
      <c r="D130" t="s">
        <v>280</v>
      </c>
      <c r="E130" t="s">
        <v>59</v>
      </c>
      <c r="F130" t="s">
        <v>298</v>
      </c>
      <c r="G130" t="s">
        <v>300</v>
      </c>
      <c r="H130">
        <v>1</v>
      </c>
      <c r="I130" t="s">
        <v>299</v>
      </c>
      <c r="J130" t="s">
        <v>287</v>
      </c>
      <c r="K130" t="s">
        <v>30</v>
      </c>
      <c r="L130" t="s">
        <v>283</v>
      </c>
    </row>
    <row r="131" spans="1:13" x14ac:dyDescent="0.25">
      <c r="A131">
        <v>11</v>
      </c>
      <c r="B131" t="s">
        <v>278</v>
      </c>
      <c r="C131" t="s">
        <v>279</v>
      </c>
      <c r="D131" t="s">
        <v>280</v>
      </c>
      <c r="E131" t="s">
        <v>59</v>
      </c>
      <c r="F131" t="s">
        <v>301</v>
      </c>
      <c r="G131" t="s">
        <v>303</v>
      </c>
      <c r="H131">
        <v>2</v>
      </c>
      <c r="I131" t="s">
        <v>302</v>
      </c>
      <c r="J131" t="s">
        <v>287</v>
      </c>
      <c r="K131" t="s">
        <v>30</v>
      </c>
      <c r="L131" t="s">
        <v>288</v>
      </c>
    </row>
    <row r="132" spans="1:13" x14ac:dyDescent="0.25">
      <c r="A132">
        <v>11</v>
      </c>
      <c r="B132" t="s">
        <v>278</v>
      </c>
      <c r="C132" t="s">
        <v>279</v>
      </c>
      <c r="D132" t="s">
        <v>280</v>
      </c>
      <c r="E132" t="s">
        <v>59</v>
      </c>
      <c r="F132" t="s">
        <v>304</v>
      </c>
      <c r="G132" t="s">
        <v>307</v>
      </c>
      <c r="H132">
        <v>3</v>
      </c>
      <c r="I132" t="s">
        <v>305</v>
      </c>
      <c r="J132" t="s">
        <v>306</v>
      </c>
      <c r="K132" s="2">
        <v>0.99</v>
      </c>
      <c r="L132" t="s">
        <v>27</v>
      </c>
    </row>
    <row r="133" spans="1:13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x14ac:dyDescent="0.25">
      <c r="F134" t="s">
        <v>316</v>
      </c>
    </row>
    <row r="135" spans="1:13" x14ac:dyDescent="0.25">
      <c r="F135" s="1" t="s">
        <v>308</v>
      </c>
      <c r="G135" s="1" t="s">
        <v>309</v>
      </c>
      <c r="H135" s="1" t="s">
        <v>310</v>
      </c>
      <c r="I135" s="1" t="s">
        <v>311</v>
      </c>
    </row>
    <row r="136" spans="1:13" x14ac:dyDescent="0.25">
      <c r="A136">
        <v>12</v>
      </c>
      <c r="B136" t="s">
        <v>312</v>
      </c>
      <c r="C136" t="s">
        <v>313</v>
      </c>
      <c r="D136" t="s">
        <v>314</v>
      </c>
      <c r="E136" t="s">
        <v>315</v>
      </c>
      <c r="F136" t="s">
        <v>317</v>
      </c>
      <c r="G136" t="s">
        <v>318</v>
      </c>
      <c r="H136" t="s">
        <v>319</v>
      </c>
      <c r="I136" t="s">
        <v>320</v>
      </c>
    </row>
    <row r="137" spans="1:13" x14ac:dyDescent="0.25">
      <c r="A137">
        <v>12</v>
      </c>
      <c r="B137" t="s">
        <v>312</v>
      </c>
      <c r="C137" t="s">
        <v>313</v>
      </c>
      <c r="D137" t="s">
        <v>314</v>
      </c>
      <c r="E137" t="s">
        <v>315</v>
      </c>
      <c r="F137" t="s">
        <v>321</v>
      </c>
      <c r="G137" t="s">
        <v>322</v>
      </c>
      <c r="H137" t="s">
        <v>323</v>
      </c>
      <c r="I137" t="s">
        <v>320</v>
      </c>
    </row>
    <row r="138" spans="1:13" x14ac:dyDescent="0.25">
      <c r="A138">
        <v>12</v>
      </c>
      <c r="B138" t="s">
        <v>312</v>
      </c>
      <c r="C138" t="s">
        <v>313</v>
      </c>
      <c r="D138" t="s">
        <v>314</v>
      </c>
      <c r="E138" t="s">
        <v>315</v>
      </c>
      <c r="F138" t="s">
        <v>324</v>
      </c>
      <c r="G138" t="s">
        <v>325</v>
      </c>
      <c r="H138" t="s">
        <v>326</v>
      </c>
      <c r="I138" t="s">
        <v>327</v>
      </c>
    </row>
    <row r="139" spans="1:13" x14ac:dyDescent="0.25">
      <c r="A139">
        <v>12</v>
      </c>
      <c r="B139" t="s">
        <v>312</v>
      </c>
      <c r="C139" t="s">
        <v>313</v>
      </c>
      <c r="D139" t="s">
        <v>314</v>
      </c>
      <c r="E139" t="s">
        <v>315</v>
      </c>
      <c r="F139" t="s">
        <v>328</v>
      </c>
      <c r="G139" t="s">
        <v>325</v>
      </c>
      <c r="H139" t="s">
        <v>329</v>
      </c>
      <c r="I139" t="s">
        <v>330</v>
      </c>
    </row>
    <row r="140" spans="1:13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x14ac:dyDescent="0.25">
      <c r="F141" t="s">
        <v>708</v>
      </c>
    </row>
    <row r="142" spans="1:13" x14ac:dyDescent="0.25">
      <c r="F142" s="1" t="s">
        <v>331</v>
      </c>
      <c r="G142" s="1" t="s">
        <v>332</v>
      </c>
      <c r="H142" s="1" t="s">
        <v>333</v>
      </c>
      <c r="I142" s="1" t="s">
        <v>334</v>
      </c>
    </row>
    <row r="143" spans="1:13" x14ac:dyDescent="0.25">
      <c r="A143">
        <v>13</v>
      </c>
      <c r="B143" t="s">
        <v>335</v>
      </c>
      <c r="C143" t="s">
        <v>313</v>
      </c>
      <c r="D143" t="s">
        <v>336</v>
      </c>
      <c r="E143" t="s">
        <v>59</v>
      </c>
      <c r="F143">
        <v>1</v>
      </c>
      <c r="G143" t="s">
        <v>338</v>
      </c>
      <c r="H143" t="s">
        <v>241</v>
      </c>
      <c r="I143" t="s">
        <v>339</v>
      </c>
    </row>
    <row r="144" spans="1:13" x14ac:dyDescent="0.25">
      <c r="A144">
        <v>13</v>
      </c>
      <c r="B144" t="s">
        <v>335</v>
      </c>
      <c r="C144" t="s">
        <v>313</v>
      </c>
      <c r="D144" t="s">
        <v>336</v>
      </c>
      <c r="E144" t="s">
        <v>59</v>
      </c>
      <c r="F144">
        <v>2</v>
      </c>
      <c r="G144" t="s">
        <v>338</v>
      </c>
      <c r="H144" t="s">
        <v>340</v>
      </c>
      <c r="I144" t="s">
        <v>341</v>
      </c>
    </row>
    <row r="145" spans="1:10" x14ac:dyDescent="0.25">
      <c r="A145">
        <v>13</v>
      </c>
      <c r="B145" t="s">
        <v>335</v>
      </c>
      <c r="C145" t="s">
        <v>313</v>
      </c>
      <c r="D145" t="s">
        <v>336</v>
      </c>
      <c r="E145" t="s">
        <v>59</v>
      </c>
      <c r="F145">
        <v>3</v>
      </c>
      <c r="G145" t="s">
        <v>342</v>
      </c>
      <c r="H145" t="s">
        <v>343</v>
      </c>
      <c r="I145" t="s">
        <v>344</v>
      </c>
    </row>
    <row r="146" spans="1:10" x14ac:dyDescent="0.25">
      <c r="A146">
        <v>13</v>
      </c>
      <c r="B146" t="s">
        <v>335</v>
      </c>
      <c r="C146" t="s">
        <v>313</v>
      </c>
      <c r="D146" t="s">
        <v>336</v>
      </c>
      <c r="E146" t="s">
        <v>59</v>
      </c>
      <c r="F146">
        <v>4</v>
      </c>
      <c r="G146" t="s">
        <v>345</v>
      </c>
      <c r="H146">
        <v>2</v>
      </c>
      <c r="I146" t="s">
        <v>346</v>
      </c>
    </row>
    <row r="147" spans="1:10" x14ac:dyDescent="0.25">
      <c r="A147">
        <v>13</v>
      </c>
      <c r="B147" t="s">
        <v>335</v>
      </c>
      <c r="C147" t="s">
        <v>313</v>
      </c>
      <c r="D147" t="s">
        <v>336</v>
      </c>
      <c r="E147" t="s">
        <v>59</v>
      </c>
      <c r="F147">
        <v>5</v>
      </c>
      <c r="G147" t="s">
        <v>347</v>
      </c>
      <c r="H147">
        <v>1</v>
      </c>
      <c r="I147" t="s">
        <v>348</v>
      </c>
    </row>
    <row r="148" spans="1:10" x14ac:dyDescent="0.25">
      <c r="A148">
        <v>13</v>
      </c>
      <c r="B148" t="s">
        <v>335</v>
      </c>
      <c r="C148" t="s">
        <v>313</v>
      </c>
      <c r="D148" t="s">
        <v>336</v>
      </c>
      <c r="E148" t="s">
        <v>59</v>
      </c>
      <c r="F148">
        <v>6</v>
      </c>
      <c r="G148" t="s">
        <v>345</v>
      </c>
      <c r="H148">
        <v>2</v>
      </c>
      <c r="I148" t="s">
        <v>349</v>
      </c>
    </row>
    <row r="149" spans="1:10" x14ac:dyDescent="0.25">
      <c r="A149">
        <v>13</v>
      </c>
      <c r="B149" t="s">
        <v>335</v>
      </c>
      <c r="C149" t="s">
        <v>313</v>
      </c>
      <c r="D149" t="s">
        <v>336</v>
      </c>
      <c r="E149" t="s">
        <v>59</v>
      </c>
      <c r="F149">
        <v>7</v>
      </c>
      <c r="G149" t="s">
        <v>347</v>
      </c>
      <c r="H149">
        <v>2</v>
      </c>
      <c r="I149" t="s">
        <v>350</v>
      </c>
    </row>
    <row r="150" spans="1:10" x14ac:dyDescent="0.25">
      <c r="A150">
        <v>13</v>
      </c>
      <c r="B150" t="s">
        <v>335</v>
      </c>
      <c r="C150" t="s">
        <v>313</v>
      </c>
      <c r="D150" t="s">
        <v>336</v>
      </c>
      <c r="E150" t="s">
        <v>59</v>
      </c>
      <c r="F150">
        <v>8</v>
      </c>
      <c r="G150" t="s">
        <v>347</v>
      </c>
      <c r="H150" t="s">
        <v>351</v>
      </c>
      <c r="I150" t="s">
        <v>352</v>
      </c>
    </row>
    <row r="152" spans="1:10" x14ac:dyDescent="0.25">
      <c r="F152" t="s">
        <v>708</v>
      </c>
    </row>
    <row r="153" spans="1:10" x14ac:dyDescent="0.25">
      <c r="F153" s="1" t="s">
        <v>353</v>
      </c>
      <c r="G153" s="1" t="s">
        <v>354</v>
      </c>
      <c r="H153" s="1" t="s">
        <v>333</v>
      </c>
      <c r="I153" s="1" t="s">
        <v>332</v>
      </c>
      <c r="J153" s="1"/>
    </row>
    <row r="154" spans="1:10" x14ac:dyDescent="0.25">
      <c r="A154">
        <v>13</v>
      </c>
      <c r="B154" t="s">
        <v>335</v>
      </c>
      <c r="C154" t="s">
        <v>313</v>
      </c>
      <c r="D154" t="s">
        <v>336</v>
      </c>
      <c r="E154" t="s">
        <v>59</v>
      </c>
      <c r="F154" t="s">
        <v>355</v>
      </c>
      <c r="G154" t="s">
        <v>356</v>
      </c>
      <c r="H154" t="s">
        <v>357</v>
      </c>
      <c r="I154" t="s">
        <v>709</v>
      </c>
    </row>
    <row r="155" spans="1:10" x14ac:dyDescent="0.25">
      <c r="A155">
        <v>13</v>
      </c>
      <c r="B155" t="s">
        <v>335</v>
      </c>
      <c r="C155" t="s">
        <v>313</v>
      </c>
      <c r="D155" t="s">
        <v>336</v>
      </c>
      <c r="E155" t="s">
        <v>59</v>
      </c>
      <c r="F155" t="s">
        <v>138</v>
      </c>
      <c r="G155" t="s">
        <v>358</v>
      </c>
      <c r="H155" t="s">
        <v>357</v>
      </c>
      <c r="I155" t="s">
        <v>359</v>
      </c>
    </row>
    <row r="156" spans="1:10" x14ac:dyDescent="0.25">
      <c r="A156">
        <v>13</v>
      </c>
      <c r="B156" t="s">
        <v>335</v>
      </c>
      <c r="C156" t="s">
        <v>313</v>
      </c>
      <c r="D156" t="s">
        <v>336</v>
      </c>
      <c r="E156" t="s">
        <v>59</v>
      </c>
      <c r="F156" t="s">
        <v>360</v>
      </c>
      <c r="G156" t="s">
        <v>361</v>
      </c>
      <c r="H156" t="s">
        <v>357</v>
      </c>
      <c r="I156" t="s">
        <v>362</v>
      </c>
    </row>
    <row r="157" spans="1:10" x14ac:dyDescent="0.25">
      <c r="A157">
        <v>13</v>
      </c>
      <c r="B157" t="s">
        <v>335</v>
      </c>
      <c r="C157" t="s">
        <v>313</v>
      </c>
      <c r="D157" t="s">
        <v>336</v>
      </c>
      <c r="E157" t="s">
        <v>59</v>
      </c>
      <c r="F157" t="s">
        <v>363</v>
      </c>
      <c r="G157" t="s">
        <v>356</v>
      </c>
      <c r="H157" t="s">
        <v>364</v>
      </c>
      <c r="I157" t="s">
        <v>709</v>
      </c>
    </row>
    <row r="158" spans="1:10" x14ac:dyDescent="0.25">
      <c r="A158">
        <v>13</v>
      </c>
      <c r="B158" t="s">
        <v>335</v>
      </c>
      <c r="C158" t="s">
        <v>313</v>
      </c>
      <c r="D158" t="s">
        <v>336</v>
      </c>
      <c r="E158" t="s">
        <v>59</v>
      </c>
      <c r="F158" t="s">
        <v>363</v>
      </c>
      <c r="G158" t="s">
        <v>358</v>
      </c>
      <c r="H158">
        <v>2</v>
      </c>
      <c r="I158" t="s">
        <v>359</v>
      </c>
    </row>
    <row r="159" spans="1:10" x14ac:dyDescent="0.25">
      <c r="A159">
        <v>13</v>
      </c>
      <c r="B159" t="s">
        <v>335</v>
      </c>
      <c r="C159" t="s">
        <v>313</v>
      </c>
      <c r="D159" t="s">
        <v>336</v>
      </c>
      <c r="E159" t="s">
        <v>59</v>
      </c>
      <c r="F159" t="s">
        <v>363</v>
      </c>
      <c r="G159" t="s">
        <v>365</v>
      </c>
      <c r="H159">
        <v>2</v>
      </c>
      <c r="I159" t="s">
        <v>362</v>
      </c>
    </row>
    <row r="160" spans="1:10" x14ac:dyDescent="0.25">
      <c r="A160">
        <v>13</v>
      </c>
      <c r="B160" t="s">
        <v>335</v>
      </c>
      <c r="C160" t="s">
        <v>313</v>
      </c>
      <c r="D160" t="s">
        <v>336</v>
      </c>
      <c r="E160" t="s">
        <v>59</v>
      </c>
      <c r="F160" t="s">
        <v>182</v>
      </c>
      <c r="G160" t="s">
        <v>356</v>
      </c>
      <c r="H160" t="s">
        <v>366</v>
      </c>
      <c r="I160" t="s">
        <v>709</v>
      </c>
    </row>
    <row r="161" spans="1:10" x14ac:dyDescent="0.25">
      <c r="A161">
        <v>13</v>
      </c>
      <c r="B161" t="s">
        <v>335</v>
      </c>
      <c r="C161" t="s">
        <v>313</v>
      </c>
      <c r="D161" t="s">
        <v>336</v>
      </c>
      <c r="E161" t="s">
        <v>59</v>
      </c>
      <c r="F161" t="s">
        <v>182</v>
      </c>
      <c r="G161" t="s">
        <v>367</v>
      </c>
      <c r="H161" t="s">
        <v>366</v>
      </c>
      <c r="I161" t="s">
        <v>709</v>
      </c>
    </row>
    <row r="162" spans="1:10" x14ac:dyDescent="0.25">
      <c r="A162">
        <v>13</v>
      </c>
      <c r="B162" t="s">
        <v>335</v>
      </c>
      <c r="C162" t="s">
        <v>313</v>
      </c>
      <c r="D162" t="s">
        <v>336</v>
      </c>
      <c r="E162" t="s">
        <v>59</v>
      </c>
      <c r="F162" t="s">
        <v>182</v>
      </c>
      <c r="G162" t="s">
        <v>358</v>
      </c>
      <c r="H162" t="s">
        <v>368</v>
      </c>
      <c r="I162" t="s">
        <v>359</v>
      </c>
    </row>
    <row r="163" spans="1:10" x14ac:dyDescent="0.25">
      <c r="A163">
        <v>13</v>
      </c>
      <c r="B163" t="s">
        <v>335</v>
      </c>
      <c r="C163" t="s">
        <v>313</v>
      </c>
      <c r="D163" t="s">
        <v>336</v>
      </c>
      <c r="E163" t="s">
        <v>59</v>
      </c>
      <c r="F163" t="s">
        <v>182</v>
      </c>
      <c r="G163" t="s">
        <v>365</v>
      </c>
      <c r="H163">
        <v>2</v>
      </c>
      <c r="I163" t="s">
        <v>362</v>
      </c>
    </row>
    <row r="164" spans="1:10" x14ac:dyDescent="0.25">
      <c r="A164">
        <v>13</v>
      </c>
      <c r="B164" t="s">
        <v>335</v>
      </c>
      <c r="C164" t="s">
        <v>313</v>
      </c>
      <c r="D164" t="s">
        <v>336</v>
      </c>
      <c r="E164" t="s">
        <v>59</v>
      </c>
      <c r="F164" t="s">
        <v>369</v>
      </c>
      <c r="G164" t="s">
        <v>356</v>
      </c>
      <c r="H164" t="s">
        <v>370</v>
      </c>
      <c r="I164" t="s">
        <v>709</v>
      </c>
    </row>
    <row r="165" spans="1:10" x14ac:dyDescent="0.25">
      <c r="A165">
        <v>13</v>
      </c>
      <c r="B165" t="s">
        <v>335</v>
      </c>
      <c r="C165" t="s">
        <v>313</v>
      </c>
      <c r="D165" t="s">
        <v>336</v>
      </c>
      <c r="E165" t="s">
        <v>59</v>
      </c>
      <c r="F165" t="s">
        <v>369</v>
      </c>
      <c r="G165" t="s">
        <v>367</v>
      </c>
      <c r="H165">
        <v>5</v>
      </c>
      <c r="I165" t="s">
        <v>359</v>
      </c>
    </row>
    <row r="166" spans="1:10" x14ac:dyDescent="0.25">
      <c r="A166">
        <v>13</v>
      </c>
      <c r="B166" t="s">
        <v>335</v>
      </c>
      <c r="C166" t="s">
        <v>313</v>
      </c>
      <c r="D166" t="s">
        <v>336</v>
      </c>
      <c r="E166" t="s">
        <v>59</v>
      </c>
      <c r="F166" t="s">
        <v>369</v>
      </c>
      <c r="G166" t="s">
        <v>358</v>
      </c>
      <c r="H166" t="s">
        <v>368</v>
      </c>
      <c r="I166" t="s">
        <v>359</v>
      </c>
    </row>
    <row r="167" spans="1:10" x14ac:dyDescent="0.25">
      <c r="A167">
        <v>13</v>
      </c>
      <c r="B167" t="s">
        <v>335</v>
      </c>
      <c r="C167" t="s">
        <v>313</v>
      </c>
      <c r="D167" t="s">
        <v>336</v>
      </c>
      <c r="E167" t="s">
        <v>59</v>
      </c>
      <c r="F167" t="s">
        <v>369</v>
      </c>
      <c r="G167" t="s">
        <v>365</v>
      </c>
      <c r="H167" t="s">
        <v>371</v>
      </c>
      <c r="I167" t="s">
        <v>362</v>
      </c>
    </row>
    <row r="168" spans="1:10" x14ac:dyDescent="0.25">
      <c r="A168">
        <v>13</v>
      </c>
      <c r="B168" t="s">
        <v>335</v>
      </c>
      <c r="C168" t="s">
        <v>313</v>
      </c>
      <c r="D168" t="s">
        <v>336</v>
      </c>
      <c r="E168" t="s">
        <v>59</v>
      </c>
      <c r="F168" t="s">
        <v>369</v>
      </c>
      <c r="G168" t="s">
        <v>372</v>
      </c>
      <c r="H168">
        <v>5</v>
      </c>
      <c r="I168" t="s">
        <v>362</v>
      </c>
    </row>
    <row r="169" spans="1:10" x14ac:dyDescent="0.25">
      <c r="A169">
        <v>13</v>
      </c>
      <c r="B169" t="s">
        <v>335</v>
      </c>
      <c r="C169" t="s">
        <v>313</v>
      </c>
      <c r="D169" t="s">
        <v>336</v>
      </c>
      <c r="E169" t="s">
        <v>59</v>
      </c>
      <c r="F169" t="s">
        <v>373</v>
      </c>
      <c r="G169" t="s">
        <v>356</v>
      </c>
      <c r="H169" t="s">
        <v>374</v>
      </c>
      <c r="I169" t="s">
        <v>709</v>
      </c>
    </row>
    <row r="170" spans="1:10" x14ac:dyDescent="0.25">
      <c r="A170">
        <v>13</v>
      </c>
      <c r="B170" t="s">
        <v>335</v>
      </c>
      <c r="C170" t="s">
        <v>313</v>
      </c>
      <c r="D170" t="s">
        <v>336</v>
      </c>
      <c r="E170" t="s">
        <v>59</v>
      </c>
      <c r="F170" t="s">
        <v>373</v>
      </c>
      <c r="G170" t="s">
        <v>358</v>
      </c>
      <c r="H170" t="s">
        <v>375</v>
      </c>
      <c r="I170" t="s">
        <v>359</v>
      </c>
    </row>
    <row r="171" spans="1:10" x14ac:dyDescent="0.25">
      <c r="A171">
        <v>13</v>
      </c>
      <c r="B171" t="s">
        <v>335</v>
      </c>
      <c r="C171" t="s">
        <v>313</v>
      </c>
      <c r="D171" t="s">
        <v>336</v>
      </c>
      <c r="E171" t="s">
        <v>59</v>
      </c>
      <c r="F171" t="s">
        <v>373</v>
      </c>
      <c r="G171" t="s">
        <v>365</v>
      </c>
      <c r="H171" t="s">
        <v>371</v>
      </c>
      <c r="I171" t="s">
        <v>362</v>
      </c>
    </row>
    <row r="173" spans="1:10" x14ac:dyDescent="0.25">
      <c r="F173" s="1" t="s">
        <v>376</v>
      </c>
      <c r="G173" s="1" t="s">
        <v>332</v>
      </c>
      <c r="H173" s="1" t="s">
        <v>377</v>
      </c>
      <c r="I173" s="1" t="s">
        <v>378</v>
      </c>
      <c r="J173" s="1" t="s">
        <v>379</v>
      </c>
    </row>
    <row r="174" spans="1:10" x14ac:dyDescent="0.25">
      <c r="A174">
        <v>13</v>
      </c>
      <c r="B174" t="s">
        <v>335</v>
      </c>
      <c r="C174" t="s">
        <v>313</v>
      </c>
      <c r="D174" t="s">
        <v>336</v>
      </c>
      <c r="E174" t="s">
        <v>337</v>
      </c>
      <c r="F174" t="s">
        <v>380</v>
      </c>
      <c r="G174">
        <v>99</v>
      </c>
      <c r="H174" t="s">
        <v>381</v>
      </c>
      <c r="I174" t="s">
        <v>382</v>
      </c>
      <c r="J174" t="s">
        <v>383</v>
      </c>
    </row>
    <row r="175" spans="1:10" x14ac:dyDescent="0.25">
      <c r="A175">
        <v>13</v>
      </c>
      <c r="B175" t="s">
        <v>335</v>
      </c>
      <c r="C175" t="s">
        <v>313</v>
      </c>
      <c r="D175" t="s">
        <v>336</v>
      </c>
      <c r="E175" t="s">
        <v>337</v>
      </c>
      <c r="F175" t="s">
        <v>384</v>
      </c>
      <c r="G175" t="s">
        <v>347</v>
      </c>
      <c r="H175" t="s">
        <v>29</v>
      </c>
      <c r="I175" t="s">
        <v>385</v>
      </c>
      <c r="J175" t="s">
        <v>383</v>
      </c>
    </row>
    <row r="176" spans="1:10" x14ac:dyDescent="0.25">
      <c r="A176">
        <v>13</v>
      </c>
      <c r="B176" t="s">
        <v>335</v>
      </c>
      <c r="C176" t="s">
        <v>313</v>
      </c>
      <c r="D176" t="s">
        <v>336</v>
      </c>
      <c r="E176" t="s">
        <v>337</v>
      </c>
      <c r="F176" t="s">
        <v>386</v>
      </c>
      <c r="G176" t="s">
        <v>387</v>
      </c>
      <c r="H176" t="s">
        <v>163</v>
      </c>
      <c r="I176" t="s">
        <v>388</v>
      </c>
      <c r="J176" t="s">
        <v>389</v>
      </c>
    </row>
    <row r="177" spans="1:13" x14ac:dyDescent="0.25">
      <c r="A177">
        <v>13</v>
      </c>
      <c r="B177" t="s">
        <v>335</v>
      </c>
      <c r="C177" t="s">
        <v>313</v>
      </c>
      <c r="D177" t="s">
        <v>336</v>
      </c>
      <c r="E177" t="s">
        <v>337</v>
      </c>
      <c r="F177" t="s">
        <v>390</v>
      </c>
      <c r="G177" t="s">
        <v>347</v>
      </c>
      <c r="H177" t="s">
        <v>170</v>
      </c>
      <c r="I177" t="s">
        <v>391</v>
      </c>
      <c r="J177" t="s">
        <v>392</v>
      </c>
    </row>
    <row r="178" spans="1:13" x14ac:dyDescent="0.25">
      <c r="A178">
        <v>13</v>
      </c>
      <c r="B178" t="s">
        <v>335</v>
      </c>
      <c r="C178" t="s">
        <v>313</v>
      </c>
      <c r="D178" t="s">
        <v>336</v>
      </c>
      <c r="E178" t="s">
        <v>337</v>
      </c>
      <c r="F178" t="s">
        <v>393</v>
      </c>
      <c r="G178" t="s">
        <v>347</v>
      </c>
      <c r="H178" t="s">
        <v>33</v>
      </c>
      <c r="I178" t="s">
        <v>394</v>
      </c>
      <c r="J178" t="s">
        <v>392</v>
      </c>
    </row>
    <row r="179" spans="1:13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x14ac:dyDescent="0.25">
      <c r="F180" t="s">
        <v>395</v>
      </c>
      <c r="H180" s="1" t="s">
        <v>32</v>
      </c>
      <c r="I180" s="1" t="s">
        <v>397</v>
      </c>
      <c r="J180" s="1" t="s">
        <v>398</v>
      </c>
      <c r="K180" s="1" t="s">
        <v>399</v>
      </c>
      <c r="L180" s="1" t="s">
        <v>138</v>
      </c>
    </row>
    <row r="181" spans="1:13" x14ac:dyDescent="0.25">
      <c r="A181">
        <v>14</v>
      </c>
      <c r="B181" t="s">
        <v>400</v>
      </c>
      <c r="C181" t="s">
        <v>313</v>
      </c>
      <c r="D181" t="s">
        <v>401</v>
      </c>
      <c r="E181" t="s">
        <v>402</v>
      </c>
      <c r="F181" t="s">
        <v>403</v>
      </c>
      <c r="G181" t="s">
        <v>404</v>
      </c>
      <c r="H181" t="s">
        <v>29</v>
      </c>
      <c r="I181" t="s">
        <v>33</v>
      </c>
      <c r="J181" t="s">
        <v>33</v>
      </c>
      <c r="K181" t="s">
        <v>35</v>
      </c>
      <c r="L181" t="s">
        <v>405</v>
      </c>
    </row>
    <row r="182" spans="1:13" x14ac:dyDescent="0.25">
      <c r="A182">
        <v>14</v>
      </c>
      <c r="B182" t="s">
        <v>400</v>
      </c>
      <c r="C182" t="s">
        <v>313</v>
      </c>
      <c r="D182" t="s">
        <v>401</v>
      </c>
      <c r="E182" t="s">
        <v>402</v>
      </c>
      <c r="F182" t="s">
        <v>403</v>
      </c>
      <c r="G182" t="s">
        <v>406</v>
      </c>
      <c r="H182" t="s">
        <v>407</v>
      </c>
      <c r="I182" t="s">
        <v>345</v>
      </c>
      <c r="J182" t="s">
        <v>362</v>
      </c>
      <c r="K182" t="s">
        <v>347</v>
      </c>
      <c r="L182" t="s">
        <v>347</v>
      </c>
    </row>
    <row r="183" spans="1:13" x14ac:dyDescent="0.25">
      <c r="A183">
        <v>14</v>
      </c>
      <c r="B183" t="s">
        <v>400</v>
      </c>
      <c r="C183" t="s">
        <v>313</v>
      </c>
      <c r="D183" t="s">
        <v>401</v>
      </c>
      <c r="E183" t="s">
        <v>402</v>
      </c>
      <c r="F183" t="s">
        <v>403</v>
      </c>
      <c r="G183" t="s">
        <v>408</v>
      </c>
      <c r="H183" t="s">
        <v>409</v>
      </c>
      <c r="I183" t="s">
        <v>409</v>
      </c>
      <c r="J183" t="s">
        <v>410</v>
      </c>
      <c r="K183" t="s">
        <v>411</v>
      </c>
      <c r="L183" t="s">
        <v>411</v>
      </c>
    </row>
    <row r="184" spans="1:13" x14ac:dyDescent="0.25">
      <c r="A184">
        <v>14</v>
      </c>
      <c r="B184" t="s">
        <v>400</v>
      </c>
      <c r="C184" t="s">
        <v>313</v>
      </c>
      <c r="D184" t="s">
        <v>401</v>
      </c>
      <c r="E184" t="s">
        <v>402</v>
      </c>
      <c r="F184" t="s">
        <v>403</v>
      </c>
      <c r="G184" t="s">
        <v>412</v>
      </c>
      <c r="H184" t="s">
        <v>413</v>
      </c>
      <c r="I184" t="s">
        <v>414</v>
      </c>
      <c r="J184" t="s">
        <v>415</v>
      </c>
      <c r="K184" t="s">
        <v>416</v>
      </c>
      <c r="L184" t="s">
        <v>414</v>
      </c>
    </row>
    <row r="185" spans="1:13" x14ac:dyDescent="0.25">
      <c r="A185">
        <v>14</v>
      </c>
      <c r="B185" t="s">
        <v>400</v>
      </c>
      <c r="C185" t="s">
        <v>313</v>
      </c>
      <c r="D185" t="s">
        <v>401</v>
      </c>
      <c r="E185" t="s">
        <v>402</v>
      </c>
      <c r="F185" t="s">
        <v>403</v>
      </c>
      <c r="G185" t="s">
        <v>417</v>
      </c>
      <c r="H185" t="s">
        <v>418</v>
      </c>
      <c r="I185" t="s">
        <v>419</v>
      </c>
      <c r="J185" t="s">
        <v>420</v>
      </c>
      <c r="K185" t="s">
        <v>421</v>
      </c>
      <c r="L185" t="s">
        <v>421</v>
      </c>
    </row>
    <row r="186" spans="1:13" x14ac:dyDescent="0.25">
      <c r="A186">
        <v>14</v>
      </c>
      <c r="B186" t="s">
        <v>400</v>
      </c>
      <c r="C186" t="s">
        <v>313</v>
      </c>
      <c r="D186" t="s">
        <v>401</v>
      </c>
      <c r="E186" t="s">
        <v>402</v>
      </c>
      <c r="F186" t="s">
        <v>403</v>
      </c>
      <c r="G186" t="s">
        <v>422</v>
      </c>
      <c r="H186" t="s">
        <v>423</v>
      </c>
      <c r="I186" t="s">
        <v>423</v>
      </c>
      <c r="J186" t="s">
        <v>424</v>
      </c>
      <c r="K186" t="s">
        <v>424</v>
      </c>
      <c r="L186" t="s">
        <v>424</v>
      </c>
    </row>
    <row r="187" spans="1:13" x14ac:dyDescent="0.25">
      <c r="A187">
        <v>14</v>
      </c>
      <c r="B187" t="s">
        <v>400</v>
      </c>
      <c r="C187" t="s">
        <v>313</v>
      </c>
      <c r="D187" t="s">
        <v>401</v>
      </c>
      <c r="E187" t="s">
        <v>402</v>
      </c>
      <c r="F187" t="s">
        <v>403</v>
      </c>
      <c r="G187" t="s">
        <v>425</v>
      </c>
      <c r="H187" t="s">
        <v>426</v>
      </c>
      <c r="I187" t="s">
        <v>426</v>
      </c>
      <c r="J187" t="s">
        <v>427</v>
      </c>
      <c r="K187" t="s">
        <v>427</v>
      </c>
      <c r="L187" t="s">
        <v>427</v>
      </c>
    </row>
    <row r="188" spans="1:13" x14ac:dyDescent="0.25">
      <c r="A188">
        <v>14</v>
      </c>
      <c r="B188" t="s">
        <v>400</v>
      </c>
      <c r="C188" t="s">
        <v>313</v>
      </c>
      <c r="D188" t="s">
        <v>401</v>
      </c>
      <c r="E188" t="s">
        <v>402</v>
      </c>
      <c r="F188" t="s">
        <v>403</v>
      </c>
      <c r="G188" t="s">
        <v>428</v>
      </c>
      <c r="H188" t="s">
        <v>427</v>
      </c>
      <c r="I188" t="s">
        <v>424</v>
      </c>
      <c r="J188" t="s">
        <v>424</v>
      </c>
      <c r="K188" t="s">
        <v>426</v>
      </c>
      <c r="L188" t="s">
        <v>426</v>
      </c>
    </row>
    <row r="189" spans="1:13" x14ac:dyDescent="0.25">
      <c r="A189">
        <v>14</v>
      </c>
      <c r="B189" t="s">
        <v>400</v>
      </c>
      <c r="C189" t="s">
        <v>313</v>
      </c>
      <c r="D189" t="s">
        <v>401</v>
      </c>
      <c r="E189" t="s">
        <v>402</v>
      </c>
      <c r="F189" t="s">
        <v>403</v>
      </c>
      <c r="G189" t="s">
        <v>429</v>
      </c>
      <c r="H189" t="s">
        <v>407</v>
      </c>
      <c r="I189" t="s">
        <v>345</v>
      </c>
      <c r="J189" t="s">
        <v>362</v>
      </c>
      <c r="K189" t="s">
        <v>347</v>
      </c>
      <c r="L189" t="s">
        <v>347</v>
      </c>
    </row>
    <row r="191" spans="1:13" x14ac:dyDescent="0.25">
      <c r="F191" t="s">
        <v>395</v>
      </c>
      <c r="H191" s="1" t="s">
        <v>430</v>
      </c>
      <c r="I191" s="1" t="s">
        <v>431</v>
      </c>
      <c r="J191" s="1" t="s">
        <v>432</v>
      </c>
    </row>
    <row r="192" spans="1:13" x14ac:dyDescent="0.25">
      <c r="A192">
        <v>14</v>
      </c>
      <c r="B192" t="s">
        <v>400</v>
      </c>
      <c r="C192" t="s">
        <v>313</v>
      </c>
      <c r="D192" t="s">
        <v>401</v>
      </c>
      <c r="E192" t="s">
        <v>402</v>
      </c>
      <c r="F192" t="s">
        <v>433</v>
      </c>
      <c r="G192" t="s">
        <v>404</v>
      </c>
      <c r="H192" t="s">
        <v>33</v>
      </c>
      <c r="I192" t="s">
        <v>35</v>
      </c>
      <c r="J192" t="s">
        <v>35</v>
      </c>
    </row>
    <row r="193" spans="1:10" x14ac:dyDescent="0.25">
      <c r="A193">
        <v>14</v>
      </c>
      <c r="B193" t="s">
        <v>400</v>
      </c>
      <c r="C193" t="s">
        <v>313</v>
      </c>
      <c r="D193" t="s">
        <v>401</v>
      </c>
      <c r="E193" t="s">
        <v>402</v>
      </c>
      <c r="F193" t="s">
        <v>433</v>
      </c>
      <c r="G193" t="s">
        <v>406</v>
      </c>
      <c r="H193" t="s">
        <v>434</v>
      </c>
      <c r="I193" t="s">
        <v>347</v>
      </c>
      <c r="J193" t="s">
        <v>435</v>
      </c>
    </row>
    <row r="194" spans="1:10" x14ac:dyDescent="0.25">
      <c r="A194">
        <v>14</v>
      </c>
      <c r="B194" t="s">
        <v>400</v>
      </c>
      <c r="C194" t="s">
        <v>313</v>
      </c>
      <c r="D194" t="s">
        <v>401</v>
      </c>
      <c r="E194" t="s">
        <v>402</v>
      </c>
      <c r="F194" t="s">
        <v>433</v>
      </c>
      <c r="G194" t="s">
        <v>408</v>
      </c>
      <c r="H194" t="s">
        <v>411</v>
      </c>
      <c r="I194" t="s">
        <v>436</v>
      </c>
      <c r="J194" t="s">
        <v>436</v>
      </c>
    </row>
    <row r="195" spans="1:10" x14ac:dyDescent="0.25">
      <c r="A195">
        <v>14</v>
      </c>
      <c r="B195" t="s">
        <v>400</v>
      </c>
      <c r="C195" t="s">
        <v>313</v>
      </c>
      <c r="D195" t="s">
        <v>401</v>
      </c>
      <c r="E195" t="s">
        <v>402</v>
      </c>
      <c r="F195" t="s">
        <v>433</v>
      </c>
      <c r="G195" t="s">
        <v>412</v>
      </c>
      <c r="H195" t="s">
        <v>437</v>
      </c>
      <c r="I195" t="s">
        <v>438</v>
      </c>
      <c r="J195" t="s">
        <v>416</v>
      </c>
    </row>
    <row r="196" spans="1:10" x14ac:dyDescent="0.25">
      <c r="A196">
        <v>14</v>
      </c>
      <c r="B196" t="s">
        <v>400</v>
      </c>
      <c r="C196" t="s">
        <v>313</v>
      </c>
      <c r="D196" t="s">
        <v>401</v>
      </c>
      <c r="E196" t="s">
        <v>402</v>
      </c>
      <c r="F196" t="s">
        <v>433</v>
      </c>
      <c r="G196" t="s">
        <v>417</v>
      </c>
      <c r="H196" t="s">
        <v>439</v>
      </c>
      <c r="I196" t="s">
        <v>418</v>
      </c>
      <c r="J196" t="s">
        <v>440</v>
      </c>
    </row>
    <row r="197" spans="1:10" x14ac:dyDescent="0.25">
      <c r="A197">
        <v>14</v>
      </c>
      <c r="B197" t="s">
        <v>400</v>
      </c>
      <c r="C197" t="s">
        <v>313</v>
      </c>
      <c r="D197" t="s">
        <v>401</v>
      </c>
      <c r="E197" t="s">
        <v>402</v>
      </c>
      <c r="F197" t="s">
        <v>433</v>
      </c>
      <c r="G197" t="s">
        <v>422</v>
      </c>
      <c r="H197" t="s">
        <v>426</v>
      </c>
      <c r="I197" t="s">
        <v>427</v>
      </c>
      <c r="J197" t="s">
        <v>424</v>
      </c>
    </row>
    <row r="198" spans="1:10" x14ac:dyDescent="0.25">
      <c r="A198">
        <v>14</v>
      </c>
      <c r="B198" t="s">
        <v>400</v>
      </c>
      <c r="C198" t="s">
        <v>313</v>
      </c>
      <c r="D198" t="s">
        <v>401</v>
      </c>
      <c r="E198" t="s">
        <v>402</v>
      </c>
      <c r="F198" t="s">
        <v>433</v>
      </c>
      <c r="G198" t="s">
        <v>425</v>
      </c>
      <c r="H198" t="s">
        <v>423</v>
      </c>
      <c r="I198" t="s">
        <v>426</v>
      </c>
      <c r="J198" t="s">
        <v>424</v>
      </c>
    </row>
    <row r="199" spans="1:10" x14ac:dyDescent="0.25">
      <c r="A199">
        <v>14</v>
      </c>
      <c r="B199" t="s">
        <v>400</v>
      </c>
      <c r="C199" t="s">
        <v>313</v>
      </c>
      <c r="D199" t="s">
        <v>401</v>
      </c>
      <c r="E199" t="s">
        <v>402</v>
      </c>
      <c r="F199" t="s">
        <v>433</v>
      </c>
      <c r="G199" t="s">
        <v>428</v>
      </c>
      <c r="H199" t="s">
        <v>423</v>
      </c>
      <c r="I199" t="s">
        <v>424</v>
      </c>
      <c r="J199" t="s">
        <v>427</v>
      </c>
    </row>
    <row r="200" spans="1:10" x14ac:dyDescent="0.25">
      <c r="A200">
        <v>14</v>
      </c>
      <c r="B200" t="s">
        <v>400</v>
      </c>
      <c r="C200" t="s">
        <v>313</v>
      </c>
      <c r="D200" t="s">
        <v>401</v>
      </c>
      <c r="E200" t="s">
        <v>402</v>
      </c>
      <c r="F200" t="s">
        <v>433</v>
      </c>
      <c r="G200" t="s">
        <v>429</v>
      </c>
      <c r="H200" t="s">
        <v>434</v>
      </c>
      <c r="I200" t="s">
        <v>345</v>
      </c>
      <c r="J200" t="s">
        <v>387</v>
      </c>
    </row>
    <row r="202" spans="1:10" x14ac:dyDescent="0.25">
      <c r="F202" t="s">
        <v>395</v>
      </c>
      <c r="H202" s="1" t="s">
        <v>51</v>
      </c>
      <c r="I202" s="1" t="s">
        <v>441</v>
      </c>
      <c r="J202" s="1" t="s">
        <v>442</v>
      </c>
    </row>
    <row r="203" spans="1:10" x14ac:dyDescent="0.25">
      <c r="A203">
        <v>14</v>
      </c>
      <c r="B203" t="s">
        <v>400</v>
      </c>
      <c r="C203" t="s">
        <v>313</v>
      </c>
      <c r="D203" t="s">
        <v>401</v>
      </c>
      <c r="E203" t="s">
        <v>402</v>
      </c>
      <c r="F203" t="s">
        <v>443</v>
      </c>
      <c r="G203" t="s">
        <v>404</v>
      </c>
      <c r="H203" t="s">
        <v>33</v>
      </c>
      <c r="I203" t="s">
        <v>33</v>
      </c>
      <c r="J203" t="s">
        <v>29</v>
      </c>
    </row>
    <row r="204" spans="1:10" x14ac:dyDescent="0.25">
      <c r="A204">
        <v>14</v>
      </c>
      <c r="B204" t="s">
        <v>400</v>
      </c>
      <c r="C204" t="s">
        <v>313</v>
      </c>
      <c r="D204" t="s">
        <v>401</v>
      </c>
      <c r="E204" t="s">
        <v>402</v>
      </c>
      <c r="F204" t="s">
        <v>443</v>
      </c>
      <c r="G204" t="s">
        <v>406</v>
      </c>
      <c r="H204" t="s">
        <v>387</v>
      </c>
      <c r="I204" t="s">
        <v>345</v>
      </c>
      <c r="J204" t="s">
        <v>407</v>
      </c>
    </row>
    <row r="205" spans="1:10" x14ac:dyDescent="0.25">
      <c r="A205">
        <v>14</v>
      </c>
      <c r="B205" t="s">
        <v>400</v>
      </c>
      <c r="C205" t="s">
        <v>313</v>
      </c>
      <c r="D205" t="s">
        <v>401</v>
      </c>
      <c r="E205" t="s">
        <v>402</v>
      </c>
      <c r="F205" t="s">
        <v>443</v>
      </c>
      <c r="G205" t="s">
        <v>408</v>
      </c>
      <c r="H205" t="s">
        <v>444</v>
      </c>
      <c r="I205" t="s">
        <v>445</v>
      </c>
      <c r="J205" t="s">
        <v>446</v>
      </c>
    </row>
    <row r="206" spans="1:10" x14ac:dyDescent="0.25">
      <c r="A206">
        <v>14</v>
      </c>
      <c r="B206" t="s">
        <v>400</v>
      </c>
      <c r="C206" t="s">
        <v>313</v>
      </c>
      <c r="D206" t="s">
        <v>401</v>
      </c>
      <c r="E206" t="s">
        <v>402</v>
      </c>
      <c r="F206" t="s">
        <v>443</v>
      </c>
      <c r="G206" t="s">
        <v>412</v>
      </c>
      <c r="H206" t="s">
        <v>447</v>
      </c>
      <c r="I206" t="s">
        <v>448</v>
      </c>
      <c r="J206" t="s">
        <v>448</v>
      </c>
    </row>
    <row r="207" spans="1:10" x14ac:dyDescent="0.25">
      <c r="A207">
        <v>14</v>
      </c>
      <c r="B207" t="s">
        <v>400</v>
      </c>
      <c r="C207" t="s">
        <v>313</v>
      </c>
      <c r="D207" t="s">
        <v>401</v>
      </c>
      <c r="E207" t="s">
        <v>402</v>
      </c>
      <c r="F207" t="s">
        <v>443</v>
      </c>
      <c r="G207" t="s">
        <v>417</v>
      </c>
      <c r="H207" t="s">
        <v>418</v>
      </c>
      <c r="I207" t="s">
        <v>418</v>
      </c>
      <c r="J207" t="s">
        <v>418</v>
      </c>
    </row>
    <row r="208" spans="1:10" x14ac:dyDescent="0.25">
      <c r="A208">
        <v>14</v>
      </c>
      <c r="B208" t="s">
        <v>400</v>
      </c>
      <c r="C208" t="s">
        <v>313</v>
      </c>
      <c r="D208" t="s">
        <v>401</v>
      </c>
      <c r="E208" t="s">
        <v>402</v>
      </c>
      <c r="F208" t="s">
        <v>443</v>
      </c>
      <c r="G208" t="s">
        <v>422</v>
      </c>
      <c r="H208" t="s">
        <v>426</v>
      </c>
      <c r="I208" t="s">
        <v>426</v>
      </c>
      <c r="J208" t="s">
        <v>426</v>
      </c>
    </row>
    <row r="209" spans="1:10" x14ac:dyDescent="0.25">
      <c r="A209">
        <v>14</v>
      </c>
      <c r="B209" t="s">
        <v>400</v>
      </c>
      <c r="C209" t="s">
        <v>313</v>
      </c>
      <c r="D209" t="s">
        <v>401</v>
      </c>
      <c r="E209" t="s">
        <v>402</v>
      </c>
      <c r="F209" t="s">
        <v>443</v>
      </c>
      <c r="G209" t="s">
        <v>425</v>
      </c>
      <c r="H209" t="s">
        <v>426</v>
      </c>
      <c r="I209" t="s">
        <v>426</v>
      </c>
      <c r="J209" t="s">
        <v>426</v>
      </c>
    </row>
    <row r="210" spans="1:10" x14ac:dyDescent="0.25">
      <c r="A210">
        <v>14</v>
      </c>
      <c r="B210" t="s">
        <v>400</v>
      </c>
      <c r="C210" t="s">
        <v>313</v>
      </c>
      <c r="D210" t="s">
        <v>401</v>
      </c>
      <c r="E210" t="s">
        <v>402</v>
      </c>
      <c r="F210" t="s">
        <v>443</v>
      </c>
      <c r="G210" t="s">
        <v>428</v>
      </c>
      <c r="H210" t="s">
        <v>426</v>
      </c>
      <c r="I210" t="s">
        <v>426</v>
      </c>
      <c r="J210" t="s">
        <v>426</v>
      </c>
    </row>
    <row r="211" spans="1:10" x14ac:dyDescent="0.25">
      <c r="A211">
        <v>14</v>
      </c>
      <c r="B211" t="s">
        <v>400</v>
      </c>
      <c r="C211" t="s">
        <v>313</v>
      </c>
      <c r="D211" t="s">
        <v>401</v>
      </c>
      <c r="E211" t="s">
        <v>402</v>
      </c>
      <c r="F211" t="s">
        <v>443</v>
      </c>
      <c r="G211" t="s">
        <v>429</v>
      </c>
      <c r="H211" t="s">
        <v>435</v>
      </c>
      <c r="I211" t="s">
        <v>347</v>
      </c>
      <c r="J211">
        <v>95</v>
      </c>
    </row>
    <row r="213" spans="1:10" x14ac:dyDescent="0.25">
      <c r="F213" t="s">
        <v>395</v>
      </c>
      <c r="H213" s="1" t="s">
        <v>449</v>
      </c>
      <c r="I213" s="1" t="s">
        <v>450</v>
      </c>
      <c r="J213" s="1" t="s">
        <v>451</v>
      </c>
    </row>
    <row r="214" spans="1:10" x14ac:dyDescent="0.25">
      <c r="A214">
        <v>14</v>
      </c>
      <c r="B214" t="s">
        <v>400</v>
      </c>
      <c r="C214" t="s">
        <v>313</v>
      </c>
      <c r="D214" t="s">
        <v>401</v>
      </c>
      <c r="E214" t="s">
        <v>402</v>
      </c>
      <c r="F214" t="s">
        <v>452</v>
      </c>
      <c r="G214" t="s">
        <v>404</v>
      </c>
      <c r="H214" t="s">
        <v>33</v>
      </c>
      <c r="I214" t="s">
        <v>35</v>
      </c>
      <c r="J214" t="s">
        <v>172</v>
      </c>
    </row>
    <row r="215" spans="1:10" x14ac:dyDescent="0.25">
      <c r="A215">
        <v>14</v>
      </c>
      <c r="B215" t="s">
        <v>400</v>
      </c>
      <c r="C215" t="s">
        <v>313</v>
      </c>
      <c r="D215" t="s">
        <v>401</v>
      </c>
      <c r="E215" t="s">
        <v>402</v>
      </c>
      <c r="F215" t="s">
        <v>452</v>
      </c>
      <c r="G215" t="s">
        <v>406</v>
      </c>
      <c r="H215" t="s">
        <v>453</v>
      </c>
      <c r="I215" t="s">
        <v>453</v>
      </c>
      <c r="J215" t="s">
        <v>454</v>
      </c>
    </row>
    <row r="216" spans="1:10" x14ac:dyDescent="0.25">
      <c r="A216">
        <v>14</v>
      </c>
      <c r="B216" t="s">
        <v>400</v>
      </c>
      <c r="C216" t="s">
        <v>313</v>
      </c>
      <c r="D216" t="s">
        <v>401</v>
      </c>
      <c r="E216" t="s">
        <v>402</v>
      </c>
      <c r="F216" t="s">
        <v>452</v>
      </c>
      <c r="G216" t="s">
        <v>408</v>
      </c>
      <c r="H216" t="s">
        <v>455</v>
      </c>
      <c r="I216" t="s">
        <v>456</v>
      </c>
      <c r="J216" t="s">
        <v>457</v>
      </c>
    </row>
    <row r="217" spans="1:10" x14ac:dyDescent="0.25">
      <c r="A217">
        <v>14</v>
      </c>
      <c r="B217" t="s">
        <v>400</v>
      </c>
      <c r="C217" t="s">
        <v>313</v>
      </c>
      <c r="D217" t="s">
        <v>401</v>
      </c>
      <c r="E217" t="s">
        <v>402</v>
      </c>
      <c r="F217" t="s">
        <v>452</v>
      </c>
      <c r="G217" t="s">
        <v>412</v>
      </c>
      <c r="H217" t="s">
        <v>458</v>
      </c>
      <c r="I217" t="s">
        <v>458</v>
      </c>
      <c r="J217" t="s">
        <v>459</v>
      </c>
    </row>
    <row r="218" spans="1:10" x14ac:dyDescent="0.25">
      <c r="A218">
        <v>14</v>
      </c>
      <c r="B218" t="s">
        <v>400</v>
      </c>
      <c r="C218" t="s">
        <v>313</v>
      </c>
      <c r="D218" t="s">
        <v>401</v>
      </c>
      <c r="E218" t="s">
        <v>402</v>
      </c>
      <c r="F218" t="s">
        <v>452</v>
      </c>
      <c r="G218" t="s">
        <v>417</v>
      </c>
      <c r="H218" t="s">
        <v>460</v>
      </c>
      <c r="I218" t="s">
        <v>461</v>
      </c>
      <c r="J218" t="s">
        <v>462</v>
      </c>
    </row>
    <row r="219" spans="1:10" x14ac:dyDescent="0.25">
      <c r="A219">
        <v>14</v>
      </c>
      <c r="B219" t="s">
        <v>400</v>
      </c>
      <c r="C219" t="s">
        <v>313</v>
      </c>
      <c r="D219" t="s">
        <v>401</v>
      </c>
      <c r="E219" t="s">
        <v>402</v>
      </c>
      <c r="F219" t="s">
        <v>452</v>
      </c>
      <c r="G219" t="s">
        <v>422</v>
      </c>
      <c r="H219" t="s">
        <v>423</v>
      </c>
      <c r="I219" t="s">
        <v>423</v>
      </c>
      <c r="J219" t="s">
        <v>423</v>
      </c>
    </row>
    <row r="220" spans="1:10" x14ac:dyDescent="0.25">
      <c r="A220">
        <v>14</v>
      </c>
      <c r="B220" t="s">
        <v>400</v>
      </c>
      <c r="C220" t="s">
        <v>313</v>
      </c>
      <c r="D220" t="s">
        <v>401</v>
      </c>
      <c r="E220" t="s">
        <v>402</v>
      </c>
      <c r="F220" t="s">
        <v>452</v>
      </c>
      <c r="G220" t="s">
        <v>425</v>
      </c>
      <c r="H220" t="s">
        <v>423</v>
      </c>
      <c r="I220" t="s">
        <v>423</v>
      </c>
      <c r="J220" t="s">
        <v>423</v>
      </c>
    </row>
    <row r="221" spans="1:10" x14ac:dyDescent="0.25">
      <c r="A221">
        <v>14</v>
      </c>
      <c r="B221" t="s">
        <v>400</v>
      </c>
      <c r="C221" t="s">
        <v>313</v>
      </c>
      <c r="D221" t="s">
        <v>401</v>
      </c>
      <c r="E221" t="s">
        <v>402</v>
      </c>
      <c r="F221" t="s">
        <v>452</v>
      </c>
      <c r="G221" t="s">
        <v>428</v>
      </c>
      <c r="H221" t="s">
        <v>427</v>
      </c>
      <c r="I221" t="s">
        <v>427</v>
      </c>
      <c r="J221" t="s">
        <v>427</v>
      </c>
    </row>
    <row r="222" spans="1:10" x14ac:dyDescent="0.25">
      <c r="A222">
        <v>14</v>
      </c>
      <c r="B222" t="s">
        <v>400</v>
      </c>
      <c r="C222" t="s">
        <v>313</v>
      </c>
      <c r="D222" t="s">
        <v>401</v>
      </c>
      <c r="E222" t="s">
        <v>402</v>
      </c>
      <c r="F222" t="s">
        <v>452</v>
      </c>
      <c r="G222" t="s">
        <v>429</v>
      </c>
      <c r="H222">
        <v>95</v>
      </c>
      <c r="I222">
        <v>95</v>
      </c>
      <c r="J222" t="s">
        <v>454</v>
      </c>
    </row>
    <row r="224" spans="1:10" x14ac:dyDescent="0.25">
      <c r="F224" t="s">
        <v>395</v>
      </c>
      <c r="H224" s="1" t="s">
        <v>463</v>
      </c>
      <c r="I224" s="1" t="s">
        <v>464</v>
      </c>
      <c r="J224" s="1" t="s">
        <v>465</v>
      </c>
    </row>
    <row r="225" spans="1:10" x14ac:dyDescent="0.25">
      <c r="A225">
        <v>14</v>
      </c>
      <c r="B225" t="s">
        <v>400</v>
      </c>
      <c r="C225" t="s">
        <v>313</v>
      </c>
      <c r="D225" t="s">
        <v>401</v>
      </c>
      <c r="E225" t="s">
        <v>402</v>
      </c>
      <c r="F225" t="s">
        <v>466</v>
      </c>
      <c r="G225" t="s">
        <v>404</v>
      </c>
      <c r="H225" t="s">
        <v>29</v>
      </c>
      <c r="I225" t="s">
        <v>29</v>
      </c>
      <c r="J225" t="s">
        <v>29</v>
      </c>
    </row>
    <row r="226" spans="1:10" x14ac:dyDescent="0.25">
      <c r="A226">
        <v>14</v>
      </c>
      <c r="B226" t="s">
        <v>400</v>
      </c>
      <c r="C226" t="s">
        <v>313</v>
      </c>
      <c r="D226" t="s">
        <v>401</v>
      </c>
      <c r="E226" t="s">
        <v>402</v>
      </c>
      <c r="F226" t="s">
        <v>466</v>
      </c>
      <c r="G226" t="s">
        <v>406</v>
      </c>
      <c r="H226" t="s">
        <v>387</v>
      </c>
      <c r="I226" t="s">
        <v>387</v>
      </c>
      <c r="J226" t="s">
        <v>387</v>
      </c>
    </row>
    <row r="227" spans="1:10" x14ac:dyDescent="0.25">
      <c r="A227">
        <v>14</v>
      </c>
      <c r="B227" t="s">
        <v>400</v>
      </c>
      <c r="C227" t="s">
        <v>313</v>
      </c>
      <c r="D227" t="s">
        <v>401</v>
      </c>
      <c r="E227" t="s">
        <v>402</v>
      </c>
      <c r="F227" t="s">
        <v>466</v>
      </c>
      <c r="G227" t="s">
        <v>408</v>
      </c>
      <c r="H227" t="s">
        <v>467</v>
      </c>
      <c r="I227" t="s">
        <v>467</v>
      </c>
      <c r="J227" t="s">
        <v>467</v>
      </c>
    </row>
    <row r="228" spans="1:10" x14ac:dyDescent="0.25">
      <c r="A228">
        <v>14</v>
      </c>
      <c r="B228" t="s">
        <v>400</v>
      </c>
      <c r="C228" t="s">
        <v>313</v>
      </c>
      <c r="D228" t="s">
        <v>401</v>
      </c>
      <c r="E228" t="s">
        <v>402</v>
      </c>
      <c r="F228" t="s">
        <v>466</v>
      </c>
      <c r="G228" t="s">
        <v>412</v>
      </c>
      <c r="H228" t="s">
        <v>459</v>
      </c>
      <c r="I228" t="s">
        <v>459</v>
      </c>
      <c r="J228" t="s">
        <v>459</v>
      </c>
    </row>
    <row r="229" spans="1:10" x14ac:dyDescent="0.25">
      <c r="A229">
        <v>14</v>
      </c>
      <c r="B229" t="s">
        <v>400</v>
      </c>
      <c r="C229" t="s">
        <v>313</v>
      </c>
      <c r="D229" t="s">
        <v>401</v>
      </c>
      <c r="E229" t="s">
        <v>402</v>
      </c>
      <c r="F229" t="s">
        <v>466</v>
      </c>
      <c r="G229" t="s">
        <v>417</v>
      </c>
      <c r="H229" t="s">
        <v>468</v>
      </c>
      <c r="I229" t="s">
        <v>468</v>
      </c>
      <c r="J229" t="s">
        <v>468</v>
      </c>
    </row>
    <row r="230" spans="1:10" x14ac:dyDescent="0.25">
      <c r="A230">
        <v>14</v>
      </c>
      <c r="B230" t="s">
        <v>400</v>
      </c>
      <c r="C230" t="s">
        <v>313</v>
      </c>
      <c r="D230" t="s">
        <v>401</v>
      </c>
      <c r="E230" t="s">
        <v>402</v>
      </c>
      <c r="F230" t="s">
        <v>466</v>
      </c>
      <c r="G230" t="s">
        <v>422</v>
      </c>
      <c r="H230" t="s">
        <v>426</v>
      </c>
      <c r="I230" t="s">
        <v>426</v>
      </c>
      <c r="J230" t="s">
        <v>426</v>
      </c>
    </row>
    <row r="231" spans="1:10" x14ac:dyDescent="0.25">
      <c r="A231">
        <v>14</v>
      </c>
      <c r="B231" t="s">
        <v>400</v>
      </c>
      <c r="C231" t="s">
        <v>313</v>
      </c>
      <c r="D231" t="s">
        <v>401</v>
      </c>
      <c r="E231" t="s">
        <v>402</v>
      </c>
      <c r="F231" t="s">
        <v>466</v>
      </c>
      <c r="G231" t="s">
        <v>425</v>
      </c>
      <c r="H231" t="s">
        <v>427</v>
      </c>
      <c r="I231" t="s">
        <v>427</v>
      </c>
      <c r="J231" t="s">
        <v>424</v>
      </c>
    </row>
    <row r="232" spans="1:10" x14ac:dyDescent="0.25">
      <c r="A232">
        <v>14</v>
      </c>
      <c r="B232" t="s">
        <v>400</v>
      </c>
      <c r="C232" t="s">
        <v>313</v>
      </c>
      <c r="D232" t="s">
        <v>401</v>
      </c>
      <c r="E232" t="s">
        <v>402</v>
      </c>
      <c r="F232" t="s">
        <v>466</v>
      </c>
      <c r="G232" t="s">
        <v>428</v>
      </c>
      <c r="H232" t="s">
        <v>426</v>
      </c>
      <c r="I232" t="s">
        <v>426</v>
      </c>
      <c r="J232" t="s">
        <v>427</v>
      </c>
    </row>
    <row r="233" spans="1:10" x14ac:dyDescent="0.25">
      <c r="A233">
        <v>14</v>
      </c>
      <c r="B233" t="s">
        <v>400</v>
      </c>
      <c r="C233" t="s">
        <v>313</v>
      </c>
      <c r="D233" t="s">
        <v>401</v>
      </c>
      <c r="E233" t="s">
        <v>402</v>
      </c>
      <c r="F233" t="s">
        <v>466</v>
      </c>
      <c r="G233" t="s">
        <v>429</v>
      </c>
      <c r="H233" t="s">
        <v>387</v>
      </c>
      <c r="I233" t="s">
        <v>387</v>
      </c>
      <c r="J233" t="s">
        <v>387</v>
      </c>
    </row>
    <row r="235" spans="1:10" x14ac:dyDescent="0.25">
      <c r="F235" t="s">
        <v>395</v>
      </c>
      <c r="H235" s="1" t="s">
        <v>469</v>
      </c>
      <c r="I235" s="1" t="s">
        <v>470</v>
      </c>
      <c r="J235" s="1" t="s">
        <v>471</v>
      </c>
    </row>
    <row r="236" spans="1:10" x14ac:dyDescent="0.25">
      <c r="A236">
        <v>14</v>
      </c>
      <c r="B236" t="s">
        <v>400</v>
      </c>
      <c r="C236" t="s">
        <v>313</v>
      </c>
      <c r="D236" t="s">
        <v>401</v>
      </c>
      <c r="E236" t="s">
        <v>402</v>
      </c>
      <c r="F236" t="s">
        <v>472</v>
      </c>
      <c r="G236" t="s">
        <v>404</v>
      </c>
      <c r="H236" t="s">
        <v>473</v>
      </c>
      <c r="I236" t="s">
        <v>474</v>
      </c>
      <c r="J236" t="s">
        <v>475</v>
      </c>
    </row>
    <row r="237" spans="1:10" x14ac:dyDescent="0.25">
      <c r="A237">
        <v>14</v>
      </c>
      <c r="B237" t="s">
        <v>400</v>
      </c>
      <c r="C237" t="s">
        <v>313</v>
      </c>
      <c r="D237" t="s">
        <v>401</v>
      </c>
      <c r="E237" t="s">
        <v>402</v>
      </c>
      <c r="F237" t="s">
        <v>472</v>
      </c>
      <c r="G237" t="s">
        <v>406</v>
      </c>
      <c r="H237" t="s">
        <v>347</v>
      </c>
      <c r="I237" t="s">
        <v>347</v>
      </c>
      <c r="J237" t="s">
        <v>347</v>
      </c>
    </row>
    <row r="238" spans="1:10" x14ac:dyDescent="0.25">
      <c r="A238">
        <v>14</v>
      </c>
      <c r="B238" t="s">
        <v>400</v>
      </c>
      <c r="C238" t="s">
        <v>313</v>
      </c>
      <c r="D238" t="s">
        <v>401</v>
      </c>
      <c r="E238" t="s">
        <v>402</v>
      </c>
      <c r="F238" t="s">
        <v>472</v>
      </c>
      <c r="G238" t="s">
        <v>408</v>
      </c>
      <c r="H238" t="s">
        <v>445</v>
      </c>
      <c r="I238" t="s">
        <v>456</v>
      </c>
      <c r="J238" t="s">
        <v>411</v>
      </c>
    </row>
    <row r="239" spans="1:10" x14ac:dyDescent="0.25">
      <c r="A239">
        <v>14</v>
      </c>
      <c r="B239" t="s">
        <v>400</v>
      </c>
      <c r="C239" t="s">
        <v>313</v>
      </c>
      <c r="D239" t="s">
        <v>401</v>
      </c>
      <c r="E239" t="s">
        <v>402</v>
      </c>
      <c r="F239" t="s">
        <v>472</v>
      </c>
      <c r="G239" t="s">
        <v>412</v>
      </c>
      <c r="H239" t="s">
        <v>476</v>
      </c>
      <c r="I239" t="s">
        <v>416</v>
      </c>
      <c r="J239" t="s">
        <v>448</v>
      </c>
    </row>
    <row r="240" spans="1:10" x14ac:dyDescent="0.25">
      <c r="A240">
        <v>14</v>
      </c>
      <c r="B240" t="s">
        <v>400</v>
      </c>
      <c r="C240" t="s">
        <v>313</v>
      </c>
      <c r="D240" t="s">
        <v>401</v>
      </c>
      <c r="E240" t="s">
        <v>402</v>
      </c>
      <c r="F240" t="s">
        <v>472</v>
      </c>
      <c r="G240" t="s">
        <v>417</v>
      </c>
      <c r="H240" t="s">
        <v>440</v>
      </c>
      <c r="I240" t="s">
        <v>418</v>
      </c>
      <c r="J240" t="s">
        <v>420</v>
      </c>
    </row>
    <row r="241" spans="1:11" x14ac:dyDescent="0.25">
      <c r="A241">
        <v>14</v>
      </c>
      <c r="B241" t="s">
        <v>400</v>
      </c>
      <c r="C241" t="s">
        <v>313</v>
      </c>
      <c r="D241" t="s">
        <v>401</v>
      </c>
      <c r="E241" t="s">
        <v>402</v>
      </c>
      <c r="F241" t="s">
        <v>472</v>
      </c>
      <c r="G241" t="s">
        <v>422</v>
      </c>
      <c r="H241" t="s">
        <v>427</v>
      </c>
      <c r="I241" t="s">
        <v>427</v>
      </c>
      <c r="J241" t="s">
        <v>426</v>
      </c>
    </row>
    <row r="242" spans="1:11" x14ac:dyDescent="0.25">
      <c r="A242">
        <v>14</v>
      </c>
      <c r="B242" t="s">
        <v>400</v>
      </c>
      <c r="C242" t="s">
        <v>313</v>
      </c>
      <c r="D242" t="s">
        <v>401</v>
      </c>
      <c r="E242" t="s">
        <v>402</v>
      </c>
      <c r="F242" t="s">
        <v>472</v>
      </c>
      <c r="G242" t="s">
        <v>425</v>
      </c>
      <c r="H242" t="s">
        <v>424</v>
      </c>
      <c r="I242" t="s">
        <v>427</v>
      </c>
      <c r="J242" t="s">
        <v>427</v>
      </c>
    </row>
    <row r="243" spans="1:11" x14ac:dyDescent="0.25">
      <c r="A243">
        <v>14</v>
      </c>
      <c r="B243" t="s">
        <v>400</v>
      </c>
      <c r="C243" t="s">
        <v>313</v>
      </c>
      <c r="D243" t="s">
        <v>401</v>
      </c>
      <c r="E243" t="s">
        <v>402</v>
      </c>
      <c r="F243" t="s">
        <v>472</v>
      </c>
      <c r="G243" t="s">
        <v>428</v>
      </c>
      <c r="H243" t="s">
        <v>424</v>
      </c>
      <c r="I243" t="s">
        <v>427</v>
      </c>
      <c r="J243" t="s">
        <v>424</v>
      </c>
    </row>
    <row r="244" spans="1:11" x14ac:dyDescent="0.25">
      <c r="A244">
        <v>14</v>
      </c>
      <c r="B244" t="s">
        <v>400</v>
      </c>
      <c r="C244" t="s">
        <v>313</v>
      </c>
      <c r="D244" t="s">
        <v>401</v>
      </c>
      <c r="E244" t="s">
        <v>402</v>
      </c>
      <c r="F244" t="s">
        <v>472</v>
      </c>
      <c r="G244" t="s">
        <v>429</v>
      </c>
      <c r="H244" t="s">
        <v>387</v>
      </c>
      <c r="I244" t="s">
        <v>387</v>
      </c>
      <c r="J244" t="s">
        <v>387</v>
      </c>
    </row>
    <row r="246" spans="1:11" x14ac:dyDescent="0.25">
      <c r="F246" t="s">
        <v>395</v>
      </c>
      <c r="H246" s="1" t="s">
        <v>477</v>
      </c>
      <c r="I246" s="1" t="s">
        <v>478</v>
      </c>
      <c r="J246" s="1" t="s">
        <v>479</v>
      </c>
      <c r="K246" s="1" t="s">
        <v>480</v>
      </c>
    </row>
    <row r="247" spans="1:11" x14ac:dyDescent="0.25">
      <c r="A247">
        <v>14</v>
      </c>
      <c r="B247" t="s">
        <v>400</v>
      </c>
      <c r="C247" t="s">
        <v>313</v>
      </c>
      <c r="D247" t="s">
        <v>401</v>
      </c>
      <c r="E247" t="s">
        <v>402</v>
      </c>
      <c r="F247" t="s">
        <v>481</v>
      </c>
      <c r="G247" t="s">
        <v>404</v>
      </c>
      <c r="H247" t="s">
        <v>482</v>
      </c>
      <c r="I247" t="s">
        <v>170</v>
      </c>
      <c r="J247" t="s">
        <v>483</v>
      </c>
      <c r="K247" t="s">
        <v>483</v>
      </c>
    </row>
    <row r="248" spans="1:11" x14ac:dyDescent="0.25">
      <c r="A248">
        <v>14</v>
      </c>
      <c r="B248" t="s">
        <v>400</v>
      </c>
      <c r="C248" t="s">
        <v>313</v>
      </c>
      <c r="D248" t="s">
        <v>401</v>
      </c>
      <c r="E248" t="s">
        <v>402</v>
      </c>
      <c r="F248" t="s">
        <v>481</v>
      </c>
      <c r="G248" t="s">
        <v>406</v>
      </c>
      <c r="H248" t="s">
        <v>347</v>
      </c>
      <c r="I248" t="s">
        <v>347</v>
      </c>
      <c r="J248" t="s">
        <v>362</v>
      </c>
      <c r="K248" t="s">
        <v>435</v>
      </c>
    </row>
    <row r="249" spans="1:11" x14ac:dyDescent="0.25">
      <c r="A249">
        <v>14</v>
      </c>
      <c r="B249" t="s">
        <v>400</v>
      </c>
      <c r="C249" t="s">
        <v>313</v>
      </c>
      <c r="D249" t="s">
        <v>401</v>
      </c>
      <c r="E249" t="s">
        <v>402</v>
      </c>
      <c r="F249" t="s">
        <v>481</v>
      </c>
      <c r="G249" t="s">
        <v>408</v>
      </c>
      <c r="H249" t="s">
        <v>484</v>
      </c>
      <c r="I249" t="s">
        <v>457</v>
      </c>
      <c r="J249" t="s">
        <v>445</v>
      </c>
      <c r="K249" t="s">
        <v>485</v>
      </c>
    </row>
    <row r="250" spans="1:11" x14ac:dyDescent="0.25">
      <c r="A250">
        <v>14</v>
      </c>
      <c r="B250" t="s">
        <v>400</v>
      </c>
      <c r="C250" t="s">
        <v>313</v>
      </c>
      <c r="D250" t="s">
        <v>401</v>
      </c>
      <c r="E250" t="s">
        <v>402</v>
      </c>
      <c r="F250" t="s">
        <v>481</v>
      </c>
      <c r="G250" t="s">
        <v>412</v>
      </c>
      <c r="H250" t="s">
        <v>448</v>
      </c>
      <c r="I250" t="s">
        <v>486</v>
      </c>
      <c r="J250" t="s">
        <v>438</v>
      </c>
      <c r="K250" t="s">
        <v>414</v>
      </c>
    </row>
    <row r="251" spans="1:11" x14ac:dyDescent="0.25">
      <c r="A251">
        <v>14</v>
      </c>
      <c r="B251" t="s">
        <v>400</v>
      </c>
      <c r="C251" t="s">
        <v>313</v>
      </c>
      <c r="D251" t="s">
        <v>401</v>
      </c>
      <c r="E251" t="s">
        <v>402</v>
      </c>
      <c r="F251" t="s">
        <v>481</v>
      </c>
      <c r="G251" t="s">
        <v>417</v>
      </c>
      <c r="H251" t="s">
        <v>487</v>
      </c>
      <c r="I251" t="s">
        <v>487</v>
      </c>
      <c r="J251" t="s">
        <v>487</v>
      </c>
      <c r="K251" t="s">
        <v>487</v>
      </c>
    </row>
    <row r="252" spans="1:11" x14ac:dyDescent="0.25">
      <c r="A252">
        <v>14</v>
      </c>
      <c r="B252" t="s">
        <v>400</v>
      </c>
      <c r="C252" t="s">
        <v>313</v>
      </c>
      <c r="D252" t="s">
        <v>401</v>
      </c>
      <c r="E252" t="s">
        <v>402</v>
      </c>
      <c r="F252" t="s">
        <v>481</v>
      </c>
      <c r="G252" t="s">
        <v>422</v>
      </c>
      <c r="H252" t="s">
        <v>424</v>
      </c>
      <c r="I252" t="s">
        <v>427</v>
      </c>
      <c r="J252" t="s">
        <v>424</v>
      </c>
      <c r="K252" t="s">
        <v>427</v>
      </c>
    </row>
    <row r="253" spans="1:11" x14ac:dyDescent="0.25">
      <c r="A253">
        <v>14</v>
      </c>
      <c r="B253" t="s">
        <v>400</v>
      </c>
      <c r="C253" t="s">
        <v>313</v>
      </c>
      <c r="D253" t="s">
        <v>401</v>
      </c>
      <c r="E253" t="s">
        <v>402</v>
      </c>
      <c r="F253" t="s">
        <v>481</v>
      </c>
      <c r="G253" t="s">
        <v>425</v>
      </c>
      <c r="H253" t="s">
        <v>427</v>
      </c>
      <c r="I253" t="s">
        <v>426</v>
      </c>
      <c r="J253" t="s">
        <v>427</v>
      </c>
      <c r="K253" t="s">
        <v>426</v>
      </c>
    </row>
    <row r="254" spans="1:11" x14ac:dyDescent="0.25">
      <c r="A254">
        <v>14</v>
      </c>
      <c r="B254" t="s">
        <v>400</v>
      </c>
      <c r="C254" t="s">
        <v>313</v>
      </c>
      <c r="D254" t="s">
        <v>401</v>
      </c>
      <c r="E254" t="s">
        <v>402</v>
      </c>
      <c r="F254" t="s">
        <v>481</v>
      </c>
      <c r="G254" t="s">
        <v>428</v>
      </c>
      <c r="H254" t="s">
        <v>426</v>
      </c>
      <c r="I254" t="s">
        <v>426</v>
      </c>
      <c r="J254" t="s">
        <v>427</v>
      </c>
      <c r="K254" t="s">
        <v>426</v>
      </c>
    </row>
    <row r="255" spans="1:11" x14ac:dyDescent="0.25">
      <c r="A255">
        <v>14</v>
      </c>
      <c r="B255" t="s">
        <v>400</v>
      </c>
      <c r="C255" t="s">
        <v>313</v>
      </c>
      <c r="D255" t="s">
        <v>401</v>
      </c>
      <c r="E255" t="s">
        <v>402</v>
      </c>
      <c r="F255" t="s">
        <v>481</v>
      </c>
      <c r="G255" t="s">
        <v>429</v>
      </c>
      <c r="H255" t="s">
        <v>347</v>
      </c>
      <c r="I255" t="s">
        <v>347</v>
      </c>
      <c r="J255" t="s">
        <v>362</v>
      </c>
      <c r="K255" t="s">
        <v>435</v>
      </c>
    </row>
    <row r="257" spans="1:11" x14ac:dyDescent="0.25">
      <c r="F257" t="s">
        <v>395</v>
      </c>
      <c r="H257" s="1" t="s">
        <v>488</v>
      </c>
      <c r="I257" s="1" t="s">
        <v>489</v>
      </c>
      <c r="J257" s="1" t="s">
        <v>490</v>
      </c>
    </row>
    <row r="258" spans="1:11" x14ac:dyDescent="0.25">
      <c r="A258">
        <v>14</v>
      </c>
      <c r="B258" t="s">
        <v>400</v>
      </c>
      <c r="C258" t="s">
        <v>313</v>
      </c>
      <c r="D258" t="s">
        <v>401</v>
      </c>
      <c r="E258" t="s">
        <v>402</v>
      </c>
      <c r="F258" t="s">
        <v>491</v>
      </c>
      <c r="G258" t="s">
        <v>404</v>
      </c>
      <c r="H258" t="s">
        <v>33</v>
      </c>
      <c r="I258" t="s">
        <v>33</v>
      </c>
      <c r="J258" t="s">
        <v>27</v>
      </c>
    </row>
    <row r="259" spans="1:11" x14ac:dyDescent="0.25">
      <c r="A259">
        <v>14</v>
      </c>
      <c r="B259" t="s">
        <v>400</v>
      </c>
      <c r="C259" t="s">
        <v>313</v>
      </c>
      <c r="D259" t="s">
        <v>401</v>
      </c>
      <c r="E259" t="s">
        <v>402</v>
      </c>
      <c r="F259" t="s">
        <v>491</v>
      </c>
      <c r="G259" t="s">
        <v>406</v>
      </c>
      <c r="H259" t="s">
        <v>347</v>
      </c>
      <c r="I259" t="s">
        <v>347</v>
      </c>
      <c r="J259" t="s">
        <v>362</v>
      </c>
    </row>
    <row r="260" spans="1:11" x14ac:dyDescent="0.25">
      <c r="A260">
        <v>14</v>
      </c>
      <c r="B260" t="s">
        <v>400</v>
      </c>
      <c r="C260" t="s">
        <v>313</v>
      </c>
      <c r="D260" t="s">
        <v>401</v>
      </c>
      <c r="E260" t="s">
        <v>402</v>
      </c>
      <c r="F260" t="s">
        <v>491</v>
      </c>
      <c r="G260" t="s">
        <v>408</v>
      </c>
      <c r="H260" t="s">
        <v>456</v>
      </c>
      <c r="I260" t="s">
        <v>456</v>
      </c>
      <c r="J260" t="s">
        <v>445</v>
      </c>
    </row>
    <row r="261" spans="1:11" x14ac:dyDescent="0.25">
      <c r="A261">
        <v>14</v>
      </c>
      <c r="B261" t="s">
        <v>400</v>
      </c>
      <c r="C261" t="s">
        <v>313</v>
      </c>
      <c r="D261" t="s">
        <v>401</v>
      </c>
      <c r="E261" t="s">
        <v>402</v>
      </c>
      <c r="F261" t="s">
        <v>491</v>
      </c>
      <c r="G261" t="s">
        <v>412</v>
      </c>
      <c r="H261" t="s">
        <v>492</v>
      </c>
      <c r="I261" t="s">
        <v>493</v>
      </c>
      <c r="J261" t="s">
        <v>494</v>
      </c>
    </row>
    <row r="262" spans="1:11" x14ac:dyDescent="0.25">
      <c r="A262">
        <v>14</v>
      </c>
      <c r="B262" t="s">
        <v>400</v>
      </c>
      <c r="C262" t="s">
        <v>313</v>
      </c>
      <c r="D262" t="s">
        <v>401</v>
      </c>
      <c r="E262" t="s">
        <v>402</v>
      </c>
      <c r="F262" t="s">
        <v>491</v>
      </c>
      <c r="G262" t="s">
        <v>417</v>
      </c>
      <c r="H262" t="s">
        <v>495</v>
      </c>
      <c r="I262" t="s">
        <v>496</v>
      </c>
      <c r="J262" t="s">
        <v>497</v>
      </c>
    </row>
    <row r="263" spans="1:11" x14ac:dyDescent="0.25">
      <c r="A263">
        <v>14</v>
      </c>
      <c r="B263" t="s">
        <v>400</v>
      </c>
      <c r="C263" t="s">
        <v>313</v>
      </c>
      <c r="D263" t="s">
        <v>401</v>
      </c>
      <c r="E263" t="s">
        <v>402</v>
      </c>
      <c r="F263" t="s">
        <v>491</v>
      </c>
      <c r="G263" t="s">
        <v>422</v>
      </c>
      <c r="H263" t="s">
        <v>426</v>
      </c>
      <c r="I263" t="s">
        <v>426</v>
      </c>
      <c r="J263" t="s">
        <v>424</v>
      </c>
    </row>
    <row r="264" spans="1:11" x14ac:dyDescent="0.25">
      <c r="A264">
        <v>14</v>
      </c>
      <c r="B264" t="s">
        <v>400</v>
      </c>
      <c r="C264" t="s">
        <v>313</v>
      </c>
      <c r="D264" t="s">
        <v>401</v>
      </c>
      <c r="E264" t="s">
        <v>402</v>
      </c>
      <c r="F264" t="s">
        <v>491</v>
      </c>
      <c r="G264" t="s">
        <v>425</v>
      </c>
      <c r="H264" t="s">
        <v>426</v>
      </c>
      <c r="I264" t="s">
        <v>426</v>
      </c>
      <c r="J264" t="s">
        <v>427</v>
      </c>
    </row>
    <row r="265" spans="1:11" x14ac:dyDescent="0.25">
      <c r="A265">
        <v>14</v>
      </c>
      <c r="B265" t="s">
        <v>400</v>
      </c>
      <c r="C265" t="s">
        <v>313</v>
      </c>
      <c r="D265" t="s">
        <v>401</v>
      </c>
      <c r="E265" t="s">
        <v>402</v>
      </c>
      <c r="F265" t="s">
        <v>491</v>
      </c>
      <c r="G265" t="s">
        <v>428</v>
      </c>
      <c r="H265" t="s">
        <v>426</v>
      </c>
      <c r="I265" t="s">
        <v>427</v>
      </c>
      <c r="J265" t="s">
        <v>427</v>
      </c>
    </row>
    <row r="266" spans="1:11" x14ac:dyDescent="0.25">
      <c r="A266">
        <v>14</v>
      </c>
      <c r="B266" t="s">
        <v>400</v>
      </c>
      <c r="C266" t="s">
        <v>313</v>
      </c>
      <c r="D266" t="s">
        <v>401</v>
      </c>
      <c r="E266" t="s">
        <v>402</v>
      </c>
      <c r="F266" t="s">
        <v>491</v>
      </c>
      <c r="G266" t="s">
        <v>429</v>
      </c>
      <c r="H266" t="s">
        <v>347</v>
      </c>
      <c r="I266" t="s">
        <v>347</v>
      </c>
      <c r="J266" t="s">
        <v>362</v>
      </c>
    </row>
    <row r="268" spans="1:11" x14ac:dyDescent="0.25">
      <c r="F268" t="s">
        <v>395</v>
      </c>
      <c r="H268" s="1" t="s">
        <v>498</v>
      </c>
      <c r="I268" s="1" t="s">
        <v>499</v>
      </c>
      <c r="J268" s="1" t="s">
        <v>500</v>
      </c>
      <c r="K268" s="1" t="s">
        <v>501</v>
      </c>
    </row>
    <row r="269" spans="1:11" x14ac:dyDescent="0.25">
      <c r="A269">
        <v>14</v>
      </c>
      <c r="B269" t="s">
        <v>400</v>
      </c>
      <c r="C269" t="s">
        <v>313</v>
      </c>
      <c r="D269" t="s">
        <v>401</v>
      </c>
      <c r="E269" t="s">
        <v>402</v>
      </c>
      <c r="F269" t="s">
        <v>502</v>
      </c>
      <c r="G269" t="s">
        <v>404</v>
      </c>
      <c r="H269" t="s">
        <v>503</v>
      </c>
      <c r="I269" t="s">
        <v>504</v>
      </c>
      <c r="J269" t="s">
        <v>35</v>
      </c>
      <c r="K269" t="s">
        <v>505</v>
      </c>
    </row>
    <row r="270" spans="1:11" x14ac:dyDescent="0.25">
      <c r="A270">
        <v>14</v>
      </c>
      <c r="B270" t="s">
        <v>400</v>
      </c>
      <c r="C270" t="s">
        <v>313</v>
      </c>
      <c r="D270" t="s">
        <v>401</v>
      </c>
      <c r="E270" t="s">
        <v>402</v>
      </c>
      <c r="F270" t="s">
        <v>502</v>
      </c>
      <c r="G270" t="s">
        <v>406</v>
      </c>
      <c r="H270">
        <v>99</v>
      </c>
      <c r="I270" t="s">
        <v>362</v>
      </c>
      <c r="J270" t="s">
        <v>435</v>
      </c>
      <c r="K270" t="s">
        <v>347</v>
      </c>
    </row>
    <row r="271" spans="1:11" x14ac:dyDescent="0.25">
      <c r="A271">
        <v>14</v>
      </c>
      <c r="B271" t="s">
        <v>400</v>
      </c>
      <c r="C271" t="s">
        <v>313</v>
      </c>
      <c r="D271" t="s">
        <v>401</v>
      </c>
      <c r="E271" t="s">
        <v>402</v>
      </c>
      <c r="F271" t="s">
        <v>502</v>
      </c>
      <c r="G271" t="s">
        <v>408</v>
      </c>
      <c r="H271" t="s">
        <v>506</v>
      </c>
      <c r="I271" t="s">
        <v>456</v>
      </c>
      <c r="J271" t="s">
        <v>507</v>
      </c>
      <c r="K271" t="s">
        <v>485</v>
      </c>
    </row>
    <row r="272" spans="1:11" x14ac:dyDescent="0.25">
      <c r="A272">
        <v>14</v>
      </c>
      <c r="B272" t="s">
        <v>400</v>
      </c>
      <c r="C272" t="s">
        <v>313</v>
      </c>
      <c r="D272" t="s">
        <v>401</v>
      </c>
      <c r="E272" t="s">
        <v>402</v>
      </c>
      <c r="F272" t="s">
        <v>502</v>
      </c>
      <c r="G272" t="s">
        <v>412</v>
      </c>
      <c r="H272" t="s">
        <v>508</v>
      </c>
      <c r="I272" t="s">
        <v>508</v>
      </c>
      <c r="J272" t="s">
        <v>416</v>
      </c>
      <c r="K272" t="s">
        <v>416</v>
      </c>
    </row>
    <row r="273" spans="1:11" x14ac:dyDescent="0.25">
      <c r="A273">
        <v>14</v>
      </c>
      <c r="B273" t="s">
        <v>400</v>
      </c>
      <c r="C273" t="s">
        <v>313</v>
      </c>
      <c r="D273" t="s">
        <v>401</v>
      </c>
      <c r="E273" t="s">
        <v>402</v>
      </c>
      <c r="F273" t="s">
        <v>502</v>
      </c>
      <c r="G273" t="s">
        <v>417</v>
      </c>
      <c r="H273" t="s">
        <v>509</v>
      </c>
      <c r="I273" t="s">
        <v>420</v>
      </c>
      <c r="J273" t="s">
        <v>440</v>
      </c>
      <c r="K273" t="s">
        <v>510</v>
      </c>
    </row>
    <row r="274" spans="1:11" x14ac:dyDescent="0.25">
      <c r="A274">
        <v>14</v>
      </c>
      <c r="B274" t="s">
        <v>400</v>
      </c>
      <c r="C274" t="s">
        <v>313</v>
      </c>
      <c r="D274" t="s">
        <v>401</v>
      </c>
      <c r="E274" t="s">
        <v>402</v>
      </c>
      <c r="F274" t="s">
        <v>502</v>
      </c>
      <c r="G274" t="s">
        <v>422</v>
      </c>
      <c r="H274" t="s">
        <v>423</v>
      </c>
      <c r="I274" t="s">
        <v>423</v>
      </c>
      <c r="J274" t="s">
        <v>427</v>
      </c>
      <c r="K274" t="s">
        <v>426</v>
      </c>
    </row>
    <row r="275" spans="1:11" x14ac:dyDescent="0.25">
      <c r="A275">
        <v>14</v>
      </c>
      <c r="B275" t="s">
        <v>400</v>
      </c>
      <c r="C275" t="s">
        <v>313</v>
      </c>
      <c r="D275" t="s">
        <v>401</v>
      </c>
      <c r="E275" t="s">
        <v>402</v>
      </c>
      <c r="F275" t="s">
        <v>502</v>
      </c>
      <c r="G275" t="s">
        <v>425</v>
      </c>
      <c r="H275" t="s">
        <v>423</v>
      </c>
      <c r="I275" t="s">
        <v>424</v>
      </c>
      <c r="J275" t="s">
        <v>427</v>
      </c>
      <c r="K275" t="s">
        <v>427</v>
      </c>
    </row>
    <row r="276" spans="1:11" x14ac:dyDescent="0.25">
      <c r="A276">
        <v>14</v>
      </c>
      <c r="B276" t="s">
        <v>400</v>
      </c>
      <c r="C276" t="s">
        <v>313</v>
      </c>
      <c r="D276" t="s">
        <v>401</v>
      </c>
      <c r="E276" t="s">
        <v>402</v>
      </c>
      <c r="F276" t="s">
        <v>502</v>
      </c>
      <c r="G276" t="s">
        <v>428</v>
      </c>
      <c r="H276" t="s">
        <v>423</v>
      </c>
      <c r="I276" t="s">
        <v>424</v>
      </c>
      <c r="J276" t="s">
        <v>424</v>
      </c>
      <c r="K276" t="s">
        <v>426</v>
      </c>
    </row>
    <row r="277" spans="1:11" x14ac:dyDescent="0.25">
      <c r="A277">
        <v>14</v>
      </c>
      <c r="B277" t="s">
        <v>400</v>
      </c>
      <c r="C277" t="s">
        <v>313</v>
      </c>
      <c r="D277" t="s">
        <v>401</v>
      </c>
      <c r="E277" t="s">
        <v>402</v>
      </c>
      <c r="F277" t="s">
        <v>502</v>
      </c>
      <c r="G277" t="s">
        <v>429</v>
      </c>
      <c r="H277">
        <v>90</v>
      </c>
      <c r="I277">
        <v>99</v>
      </c>
      <c r="J277" t="s">
        <v>362</v>
      </c>
      <c r="K277" t="s">
        <v>435</v>
      </c>
    </row>
    <row r="279" spans="1:11" x14ac:dyDescent="0.25">
      <c r="F279" t="s">
        <v>395</v>
      </c>
      <c r="H279" s="1" t="s">
        <v>511</v>
      </c>
      <c r="I279" s="1" t="s">
        <v>512</v>
      </c>
      <c r="J279" s="1" t="s">
        <v>513</v>
      </c>
    </row>
    <row r="280" spans="1:11" x14ac:dyDescent="0.25">
      <c r="A280">
        <v>14</v>
      </c>
      <c r="B280" t="s">
        <v>400</v>
      </c>
      <c r="C280" t="s">
        <v>313</v>
      </c>
      <c r="D280" t="s">
        <v>401</v>
      </c>
      <c r="E280" t="s">
        <v>402</v>
      </c>
      <c r="F280" t="s">
        <v>514</v>
      </c>
      <c r="G280" t="s">
        <v>404</v>
      </c>
      <c r="H280" t="s">
        <v>33</v>
      </c>
      <c r="I280" t="s">
        <v>33</v>
      </c>
      <c r="J280" t="s">
        <v>172</v>
      </c>
    </row>
    <row r="281" spans="1:11" x14ac:dyDescent="0.25">
      <c r="A281">
        <v>14</v>
      </c>
      <c r="B281" t="s">
        <v>400</v>
      </c>
      <c r="C281" t="s">
        <v>313</v>
      </c>
      <c r="D281" t="s">
        <v>401</v>
      </c>
      <c r="E281" t="s">
        <v>402</v>
      </c>
      <c r="F281" t="s">
        <v>514</v>
      </c>
      <c r="G281" t="s">
        <v>406</v>
      </c>
      <c r="H281" t="s">
        <v>347</v>
      </c>
      <c r="I281" t="s">
        <v>347</v>
      </c>
      <c r="J281">
        <v>99</v>
      </c>
    </row>
    <row r="282" spans="1:11" x14ac:dyDescent="0.25">
      <c r="A282">
        <v>14</v>
      </c>
      <c r="B282" t="s">
        <v>400</v>
      </c>
      <c r="C282" t="s">
        <v>313</v>
      </c>
      <c r="D282" t="s">
        <v>401</v>
      </c>
      <c r="E282" t="s">
        <v>402</v>
      </c>
      <c r="F282" t="s">
        <v>514</v>
      </c>
      <c r="G282" t="s">
        <v>408</v>
      </c>
      <c r="H282" t="s">
        <v>445</v>
      </c>
      <c r="I282" t="s">
        <v>515</v>
      </c>
      <c r="J282" t="s">
        <v>445</v>
      </c>
    </row>
    <row r="283" spans="1:11" x14ac:dyDescent="0.25">
      <c r="A283">
        <v>14</v>
      </c>
      <c r="B283" t="s">
        <v>400</v>
      </c>
      <c r="C283" t="s">
        <v>313</v>
      </c>
      <c r="D283" t="s">
        <v>401</v>
      </c>
      <c r="E283" t="s">
        <v>402</v>
      </c>
      <c r="F283" t="s">
        <v>514</v>
      </c>
      <c r="G283" t="s">
        <v>412</v>
      </c>
      <c r="H283" t="s">
        <v>516</v>
      </c>
      <c r="I283" t="s">
        <v>516</v>
      </c>
      <c r="J283" t="s">
        <v>517</v>
      </c>
    </row>
    <row r="284" spans="1:11" x14ac:dyDescent="0.25">
      <c r="A284">
        <v>14</v>
      </c>
      <c r="B284" t="s">
        <v>400</v>
      </c>
      <c r="C284" t="s">
        <v>313</v>
      </c>
      <c r="D284" t="s">
        <v>401</v>
      </c>
      <c r="E284" t="s">
        <v>402</v>
      </c>
      <c r="F284" t="s">
        <v>514</v>
      </c>
      <c r="G284" t="s">
        <v>417</v>
      </c>
      <c r="H284" t="s">
        <v>497</v>
      </c>
      <c r="I284" t="s">
        <v>518</v>
      </c>
      <c r="J284" t="s">
        <v>519</v>
      </c>
    </row>
    <row r="285" spans="1:11" x14ac:dyDescent="0.25">
      <c r="A285">
        <v>14</v>
      </c>
      <c r="B285" t="s">
        <v>400</v>
      </c>
      <c r="C285" t="s">
        <v>313</v>
      </c>
      <c r="D285" t="s">
        <v>401</v>
      </c>
      <c r="E285" t="s">
        <v>402</v>
      </c>
      <c r="F285" t="s">
        <v>514</v>
      </c>
      <c r="G285" t="s">
        <v>422</v>
      </c>
      <c r="H285" t="s">
        <v>426</v>
      </c>
      <c r="I285" t="s">
        <v>426</v>
      </c>
      <c r="J285" t="s">
        <v>424</v>
      </c>
    </row>
    <row r="286" spans="1:11" x14ac:dyDescent="0.25">
      <c r="A286">
        <v>14</v>
      </c>
      <c r="B286" t="s">
        <v>400</v>
      </c>
      <c r="C286" t="s">
        <v>313</v>
      </c>
      <c r="D286" t="s">
        <v>401</v>
      </c>
      <c r="E286" t="s">
        <v>402</v>
      </c>
      <c r="F286" t="s">
        <v>514</v>
      </c>
      <c r="G286" t="s">
        <v>425</v>
      </c>
      <c r="H286" t="s">
        <v>426</v>
      </c>
      <c r="I286" t="s">
        <v>426</v>
      </c>
      <c r="J286" t="s">
        <v>427</v>
      </c>
    </row>
    <row r="287" spans="1:11" x14ac:dyDescent="0.25">
      <c r="A287">
        <v>14</v>
      </c>
      <c r="B287" t="s">
        <v>400</v>
      </c>
      <c r="C287" t="s">
        <v>313</v>
      </c>
      <c r="D287" t="s">
        <v>401</v>
      </c>
      <c r="E287" t="s">
        <v>402</v>
      </c>
      <c r="F287" t="s">
        <v>514</v>
      </c>
      <c r="G287" t="s">
        <v>428</v>
      </c>
      <c r="H287" t="s">
        <v>427</v>
      </c>
      <c r="I287" t="s">
        <v>427</v>
      </c>
      <c r="J287" t="s">
        <v>424</v>
      </c>
    </row>
    <row r="288" spans="1:11" x14ac:dyDescent="0.25">
      <c r="A288">
        <v>14</v>
      </c>
      <c r="B288" t="s">
        <v>400</v>
      </c>
      <c r="C288" t="s">
        <v>313</v>
      </c>
      <c r="D288" t="s">
        <v>401</v>
      </c>
      <c r="E288" t="s">
        <v>402</v>
      </c>
      <c r="F288" t="s">
        <v>514</v>
      </c>
      <c r="G288" t="s">
        <v>429</v>
      </c>
      <c r="H288" t="s">
        <v>347</v>
      </c>
      <c r="I288" t="s">
        <v>347</v>
      </c>
      <c r="J288" t="s">
        <v>347</v>
      </c>
    </row>
    <row r="290" spans="1:12" x14ac:dyDescent="0.25">
      <c r="F290" t="s">
        <v>395</v>
      </c>
      <c r="H290" s="1" t="s">
        <v>520</v>
      </c>
      <c r="I290" s="1" t="s">
        <v>521</v>
      </c>
      <c r="J290" s="1" t="s">
        <v>522</v>
      </c>
      <c r="K290" s="1" t="s">
        <v>523</v>
      </c>
    </row>
    <row r="291" spans="1:12" x14ac:dyDescent="0.25">
      <c r="A291">
        <v>14</v>
      </c>
      <c r="B291" t="s">
        <v>400</v>
      </c>
      <c r="C291" t="s">
        <v>313</v>
      </c>
      <c r="D291" t="s">
        <v>401</v>
      </c>
      <c r="E291" t="s">
        <v>402</v>
      </c>
      <c r="F291" t="s">
        <v>524</v>
      </c>
      <c r="G291" t="s">
        <v>404</v>
      </c>
      <c r="H291" t="s">
        <v>29</v>
      </c>
      <c r="I291" t="s">
        <v>405</v>
      </c>
      <c r="J291" t="s">
        <v>405</v>
      </c>
      <c r="K291" t="s">
        <v>170</v>
      </c>
    </row>
    <row r="292" spans="1:12" x14ac:dyDescent="0.25">
      <c r="A292">
        <v>14</v>
      </c>
      <c r="B292" t="s">
        <v>400</v>
      </c>
      <c r="C292" t="s">
        <v>313</v>
      </c>
      <c r="D292" t="s">
        <v>401</v>
      </c>
      <c r="E292" t="s">
        <v>402</v>
      </c>
      <c r="F292" t="s">
        <v>524</v>
      </c>
      <c r="G292" t="s">
        <v>406</v>
      </c>
      <c r="H292">
        <v>95</v>
      </c>
      <c r="I292" t="s">
        <v>387</v>
      </c>
      <c r="J292" t="s">
        <v>387</v>
      </c>
      <c r="K292" t="s">
        <v>387</v>
      </c>
    </row>
    <row r="293" spans="1:12" x14ac:dyDescent="0.25">
      <c r="A293">
        <v>14</v>
      </c>
      <c r="B293" t="s">
        <v>400</v>
      </c>
      <c r="C293" t="s">
        <v>313</v>
      </c>
      <c r="D293" t="s">
        <v>401</v>
      </c>
      <c r="E293" t="s">
        <v>402</v>
      </c>
      <c r="F293" t="s">
        <v>524</v>
      </c>
      <c r="G293" t="s">
        <v>408</v>
      </c>
      <c r="H293" t="s">
        <v>456</v>
      </c>
      <c r="I293" t="s">
        <v>457</v>
      </c>
      <c r="J293" t="s">
        <v>457</v>
      </c>
      <c r="K293" t="s">
        <v>457</v>
      </c>
    </row>
    <row r="294" spans="1:12" x14ac:dyDescent="0.25">
      <c r="A294">
        <v>14</v>
      </c>
      <c r="B294" t="s">
        <v>400</v>
      </c>
      <c r="C294" t="s">
        <v>313</v>
      </c>
      <c r="D294" t="s">
        <v>401</v>
      </c>
      <c r="E294" t="s">
        <v>402</v>
      </c>
      <c r="F294" t="s">
        <v>524</v>
      </c>
      <c r="G294" t="s">
        <v>412</v>
      </c>
      <c r="H294" t="s">
        <v>525</v>
      </c>
      <c r="I294" t="s">
        <v>525</v>
      </c>
      <c r="J294" t="s">
        <v>525</v>
      </c>
      <c r="K294" t="s">
        <v>525</v>
      </c>
    </row>
    <row r="295" spans="1:12" x14ac:dyDescent="0.25">
      <c r="A295">
        <v>14</v>
      </c>
      <c r="B295" t="s">
        <v>400</v>
      </c>
      <c r="C295" t="s">
        <v>313</v>
      </c>
      <c r="D295" t="s">
        <v>401</v>
      </c>
      <c r="E295" t="s">
        <v>402</v>
      </c>
      <c r="F295" t="s">
        <v>524</v>
      </c>
      <c r="G295" t="s">
        <v>417</v>
      </c>
      <c r="H295" t="s">
        <v>418</v>
      </c>
      <c r="I295" t="s">
        <v>418</v>
      </c>
      <c r="J295" t="s">
        <v>418</v>
      </c>
      <c r="K295" t="s">
        <v>418</v>
      </c>
    </row>
    <row r="296" spans="1:12" x14ac:dyDescent="0.25">
      <c r="A296">
        <v>14</v>
      </c>
      <c r="B296" t="s">
        <v>400</v>
      </c>
      <c r="C296" t="s">
        <v>313</v>
      </c>
      <c r="D296" t="s">
        <v>401</v>
      </c>
      <c r="E296" t="s">
        <v>402</v>
      </c>
      <c r="F296" t="s">
        <v>524</v>
      </c>
      <c r="G296" t="s">
        <v>422</v>
      </c>
      <c r="H296" t="s">
        <v>424</v>
      </c>
      <c r="I296" t="s">
        <v>424</v>
      </c>
      <c r="J296" t="s">
        <v>424</v>
      </c>
      <c r="K296" t="s">
        <v>424</v>
      </c>
    </row>
    <row r="297" spans="1:12" x14ac:dyDescent="0.25">
      <c r="A297">
        <v>14</v>
      </c>
      <c r="B297" t="s">
        <v>400</v>
      </c>
      <c r="C297" t="s">
        <v>313</v>
      </c>
      <c r="D297" t="s">
        <v>401</v>
      </c>
      <c r="E297" t="s">
        <v>402</v>
      </c>
      <c r="F297" t="s">
        <v>524</v>
      </c>
      <c r="G297" t="s">
        <v>425</v>
      </c>
      <c r="H297" t="s">
        <v>427</v>
      </c>
      <c r="I297" t="s">
        <v>427</v>
      </c>
      <c r="J297" t="s">
        <v>427</v>
      </c>
      <c r="K297" t="s">
        <v>427</v>
      </c>
    </row>
    <row r="298" spans="1:12" x14ac:dyDescent="0.25">
      <c r="A298">
        <v>14</v>
      </c>
      <c r="B298" t="s">
        <v>400</v>
      </c>
      <c r="C298" t="s">
        <v>313</v>
      </c>
      <c r="D298" t="s">
        <v>401</v>
      </c>
      <c r="E298" t="s">
        <v>402</v>
      </c>
      <c r="F298" t="s">
        <v>524</v>
      </c>
      <c r="G298" t="s">
        <v>428</v>
      </c>
      <c r="H298" t="s">
        <v>427</v>
      </c>
      <c r="I298" t="s">
        <v>427</v>
      </c>
      <c r="J298" t="s">
        <v>427</v>
      </c>
      <c r="K298" t="s">
        <v>427</v>
      </c>
    </row>
    <row r="299" spans="1:12" x14ac:dyDescent="0.25">
      <c r="A299">
        <v>14</v>
      </c>
      <c r="B299" t="s">
        <v>400</v>
      </c>
      <c r="C299" t="s">
        <v>313</v>
      </c>
      <c r="D299" t="s">
        <v>401</v>
      </c>
      <c r="E299" t="s">
        <v>402</v>
      </c>
      <c r="F299" t="s">
        <v>524</v>
      </c>
      <c r="G299" t="s">
        <v>429</v>
      </c>
      <c r="H299" t="s">
        <v>387</v>
      </c>
      <c r="I299" t="s">
        <v>387</v>
      </c>
      <c r="J299" t="s">
        <v>387</v>
      </c>
      <c r="K299" t="s">
        <v>387</v>
      </c>
    </row>
    <row r="301" spans="1:12" x14ac:dyDescent="0.25">
      <c r="F301" t="s">
        <v>395</v>
      </c>
      <c r="H301" s="1" t="s">
        <v>526</v>
      </c>
      <c r="I301" s="1" t="s">
        <v>527</v>
      </c>
      <c r="J301" s="1" t="s">
        <v>528</v>
      </c>
      <c r="K301" s="1" t="s">
        <v>529</v>
      </c>
      <c r="L301" s="1" t="s">
        <v>530</v>
      </c>
    </row>
    <row r="302" spans="1:12" x14ac:dyDescent="0.25">
      <c r="A302">
        <v>14</v>
      </c>
      <c r="B302" t="s">
        <v>400</v>
      </c>
      <c r="C302" t="s">
        <v>313</v>
      </c>
      <c r="D302" t="s">
        <v>401</v>
      </c>
      <c r="E302" t="s">
        <v>402</v>
      </c>
      <c r="F302" t="s">
        <v>531</v>
      </c>
      <c r="G302" t="s">
        <v>404</v>
      </c>
      <c r="H302" t="s">
        <v>170</v>
      </c>
      <c r="I302" t="s">
        <v>33</v>
      </c>
      <c r="J302" t="s">
        <v>163</v>
      </c>
      <c r="K302" t="s">
        <v>33</v>
      </c>
      <c r="L302" t="s">
        <v>35</v>
      </c>
    </row>
    <row r="303" spans="1:12" x14ac:dyDescent="0.25">
      <c r="A303">
        <v>14</v>
      </c>
      <c r="B303" t="s">
        <v>400</v>
      </c>
      <c r="C303" t="s">
        <v>313</v>
      </c>
      <c r="D303" t="s">
        <v>401</v>
      </c>
      <c r="E303" t="s">
        <v>402</v>
      </c>
      <c r="F303" t="s">
        <v>531</v>
      </c>
      <c r="G303" t="s">
        <v>406</v>
      </c>
      <c r="H303" t="s">
        <v>387</v>
      </c>
      <c r="I303" t="s">
        <v>347</v>
      </c>
      <c r="J303" t="s">
        <v>362</v>
      </c>
      <c r="K303" t="s">
        <v>347</v>
      </c>
      <c r="L303">
        <v>99</v>
      </c>
    </row>
    <row r="304" spans="1:12" x14ac:dyDescent="0.25">
      <c r="A304">
        <v>14</v>
      </c>
      <c r="B304" t="s">
        <v>400</v>
      </c>
      <c r="C304" t="s">
        <v>313</v>
      </c>
      <c r="D304" t="s">
        <v>401</v>
      </c>
      <c r="E304" t="s">
        <v>402</v>
      </c>
      <c r="F304" t="s">
        <v>531</v>
      </c>
      <c r="G304" t="s">
        <v>408</v>
      </c>
      <c r="H304" t="s">
        <v>532</v>
      </c>
      <c r="I304" t="s">
        <v>445</v>
      </c>
      <c r="J304" t="s">
        <v>445</v>
      </c>
      <c r="K304" t="s">
        <v>533</v>
      </c>
      <c r="L304" t="s">
        <v>436</v>
      </c>
    </row>
    <row r="305" spans="1:13" x14ac:dyDescent="0.25">
      <c r="A305">
        <v>14</v>
      </c>
      <c r="B305" t="s">
        <v>400</v>
      </c>
      <c r="C305" t="s">
        <v>313</v>
      </c>
      <c r="D305" t="s">
        <v>401</v>
      </c>
      <c r="E305" t="s">
        <v>402</v>
      </c>
      <c r="F305" t="s">
        <v>531</v>
      </c>
      <c r="G305" t="s">
        <v>412</v>
      </c>
      <c r="H305" t="s">
        <v>415</v>
      </c>
      <c r="I305" t="s">
        <v>438</v>
      </c>
      <c r="J305" t="s">
        <v>476</v>
      </c>
      <c r="K305" t="s">
        <v>437</v>
      </c>
      <c r="L305" t="s">
        <v>534</v>
      </c>
    </row>
    <row r="306" spans="1:13" x14ac:dyDescent="0.25">
      <c r="A306">
        <v>14</v>
      </c>
      <c r="B306" t="s">
        <v>400</v>
      </c>
      <c r="C306" t="s">
        <v>313</v>
      </c>
      <c r="D306" t="s">
        <v>401</v>
      </c>
      <c r="E306" t="s">
        <v>402</v>
      </c>
      <c r="F306" t="s">
        <v>531</v>
      </c>
      <c r="G306" t="s">
        <v>417</v>
      </c>
      <c r="H306" t="s">
        <v>535</v>
      </c>
      <c r="I306" t="s">
        <v>519</v>
      </c>
      <c r="J306" t="s">
        <v>536</v>
      </c>
      <c r="K306" t="s">
        <v>537</v>
      </c>
      <c r="L306" t="s">
        <v>440</v>
      </c>
    </row>
    <row r="307" spans="1:13" x14ac:dyDescent="0.25">
      <c r="A307">
        <v>14</v>
      </c>
      <c r="B307" t="s">
        <v>400</v>
      </c>
      <c r="C307" t="s">
        <v>313</v>
      </c>
      <c r="D307" t="s">
        <v>401</v>
      </c>
      <c r="E307" t="s">
        <v>402</v>
      </c>
      <c r="F307" t="s">
        <v>531</v>
      </c>
      <c r="G307" t="s">
        <v>422</v>
      </c>
      <c r="H307" t="s">
        <v>426</v>
      </c>
      <c r="I307" t="s">
        <v>426</v>
      </c>
      <c r="J307" t="s">
        <v>427</v>
      </c>
      <c r="K307" t="s">
        <v>427</v>
      </c>
      <c r="L307" t="s">
        <v>424</v>
      </c>
    </row>
    <row r="308" spans="1:13" x14ac:dyDescent="0.25">
      <c r="A308">
        <v>14</v>
      </c>
      <c r="B308" t="s">
        <v>400</v>
      </c>
      <c r="C308" t="s">
        <v>313</v>
      </c>
      <c r="D308" t="s">
        <v>401</v>
      </c>
      <c r="E308" t="s">
        <v>402</v>
      </c>
      <c r="F308" t="s">
        <v>531</v>
      </c>
      <c r="G308" t="s">
        <v>425</v>
      </c>
      <c r="H308" t="s">
        <v>424</v>
      </c>
      <c r="I308" t="s">
        <v>426</v>
      </c>
      <c r="J308" t="s">
        <v>427</v>
      </c>
      <c r="K308" t="s">
        <v>426</v>
      </c>
      <c r="L308" t="s">
        <v>426</v>
      </c>
    </row>
    <row r="309" spans="1:13" x14ac:dyDescent="0.25">
      <c r="A309">
        <v>14</v>
      </c>
      <c r="B309" t="s">
        <v>400</v>
      </c>
      <c r="C309" t="s">
        <v>313</v>
      </c>
      <c r="D309" t="s">
        <v>401</v>
      </c>
      <c r="E309" t="s">
        <v>402</v>
      </c>
      <c r="F309" t="s">
        <v>531</v>
      </c>
      <c r="G309" t="s">
        <v>428</v>
      </c>
      <c r="H309" t="s">
        <v>426</v>
      </c>
      <c r="I309" t="s">
        <v>427</v>
      </c>
      <c r="J309" t="s">
        <v>426</v>
      </c>
      <c r="K309" t="s">
        <v>426</v>
      </c>
      <c r="L309" t="s">
        <v>427</v>
      </c>
    </row>
    <row r="310" spans="1:13" x14ac:dyDescent="0.25">
      <c r="A310">
        <v>14</v>
      </c>
      <c r="B310" t="s">
        <v>400</v>
      </c>
      <c r="C310" t="s">
        <v>313</v>
      </c>
      <c r="D310" t="s">
        <v>401</v>
      </c>
      <c r="E310" t="s">
        <v>402</v>
      </c>
      <c r="F310" t="s">
        <v>531</v>
      </c>
      <c r="G310" t="s">
        <v>429</v>
      </c>
      <c r="H310" t="s">
        <v>387</v>
      </c>
      <c r="I310" t="s">
        <v>347</v>
      </c>
      <c r="J310" t="s">
        <v>362</v>
      </c>
      <c r="K310" t="s">
        <v>347</v>
      </c>
      <c r="L310" t="s">
        <v>347</v>
      </c>
    </row>
    <row r="311" spans="1:13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x14ac:dyDescent="0.25">
      <c r="F312" s="1" t="s">
        <v>538</v>
      </c>
      <c r="G312" s="1" t="s">
        <v>539</v>
      </c>
      <c r="H312" s="1" t="s">
        <v>540</v>
      </c>
      <c r="I312" s="1" t="s">
        <v>541</v>
      </c>
    </row>
    <row r="313" spans="1:13" x14ac:dyDescent="0.25">
      <c r="A313">
        <v>15</v>
      </c>
      <c r="B313" t="s">
        <v>542</v>
      </c>
      <c r="C313" t="s">
        <v>543</v>
      </c>
      <c r="D313" t="s">
        <v>544</v>
      </c>
      <c r="E313" t="s">
        <v>545</v>
      </c>
      <c r="F313" t="s">
        <v>546</v>
      </c>
      <c r="G313" t="s">
        <v>320</v>
      </c>
      <c r="H313" t="s">
        <v>547</v>
      </c>
      <c r="I313" t="s">
        <v>548</v>
      </c>
    </row>
    <row r="314" spans="1:13" x14ac:dyDescent="0.25">
      <c r="A314">
        <v>15</v>
      </c>
      <c r="B314" t="s">
        <v>542</v>
      </c>
      <c r="C314" t="s">
        <v>543</v>
      </c>
      <c r="D314" t="s">
        <v>544</v>
      </c>
      <c r="E314" t="s">
        <v>545</v>
      </c>
      <c r="F314" t="s">
        <v>549</v>
      </c>
      <c r="G314" t="s">
        <v>550</v>
      </c>
      <c r="H314" t="s">
        <v>551</v>
      </c>
      <c r="I314" t="s">
        <v>552</v>
      </c>
    </row>
    <row r="315" spans="1:13" x14ac:dyDescent="0.25">
      <c r="A315">
        <v>15</v>
      </c>
      <c r="B315" t="s">
        <v>542</v>
      </c>
      <c r="C315" t="s">
        <v>543</v>
      </c>
      <c r="D315" t="s">
        <v>544</v>
      </c>
      <c r="E315" t="s">
        <v>545</v>
      </c>
      <c r="F315" t="s">
        <v>553</v>
      </c>
      <c r="G315" t="s">
        <v>320</v>
      </c>
      <c r="H315" t="s">
        <v>554</v>
      </c>
      <c r="I315" t="s">
        <v>555</v>
      </c>
    </row>
    <row r="316" spans="1:13" x14ac:dyDescent="0.25">
      <c r="A316">
        <v>15</v>
      </c>
      <c r="B316" t="s">
        <v>542</v>
      </c>
      <c r="C316" t="s">
        <v>543</v>
      </c>
      <c r="D316" t="s">
        <v>544</v>
      </c>
      <c r="E316" t="s">
        <v>545</v>
      </c>
      <c r="F316" t="s">
        <v>556</v>
      </c>
      <c r="G316" t="s">
        <v>550</v>
      </c>
      <c r="H316" t="s">
        <v>557</v>
      </c>
      <c r="I316" t="s">
        <v>558</v>
      </c>
    </row>
    <row r="318" spans="1:13" x14ac:dyDescent="0.25">
      <c r="F318" t="s">
        <v>559</v>
      </c>
    </row>
    <row r="319" spans="1:13" x14ac:dyDescent="0.25">
      <c r="F319" s="1" t="s">
        <v>5</v>
      </c>
      <c r="G319" s="1" t="s">
        <v>560</v>
      </c>
      <c r="H319" s="1" t="s">
        <v>332</v>
      </c>
      <c r="I319" s="1" t="s">
        <v>561</v>
      </c>
    </row>
    <row r="320" spans="1:13" x14ac:dyDescent="0.25">
      <c r="A320">
        <v>15</v>
      </c>
      <c r="B320" t="s">
        <v>542</v>
      </c>
      <c r="C320" t="s">
        <v>543</v>
      </c>
      <c r="D320" t="s">
        <v>544</v>
      </c>
      <c r="E320" t="s">
        <v>562</v>
      </c>
      <c r="F320" t="s">
        <v>563</v>
      </c>
      <c r="G320" t="s">
        <v>564</v>
      </c>
      <c r="H320" t="s">
        <v>347</v>
      </c>
      <c r="I320" t="s">
        <v>330</v>
      </c>
    </row>
    <row r="321" spans="1:13" x14ac:dyDescent="0.25">
      <c r="A321">
        <v>15</v>
      </c>
      <c r="B321" t="s">
        <v>542</v>
      </c>
      <c r="C321" t="s">
        <v>543</v>
      </c>
      <c r="D321" t="s">
        <v>544</v>
      </c>
      <c r="E321" t="s">
        <v>562</v>
      </c>
      <c r="F321" t="s">
        <v>177</v>
      </c>
      <c r="G321" t="s">
        <v>565</v>
      </c>
      <c r="H321" t="s">
        <v>347</v>
      </c>
      <c r="I321" t="s">
        <v>566</v>
      </c>
    </row>
    <row r="322" spans="1:13" x14ac:dyDescent="0.25">
      <c r="A322">
        <v>15</v>
      </c>
      <c r="B322" t="s">
        <v>542</v>
      </c>
      <c r="C322" t="s">
        <v>543</v>
      </c>
      <c r="D322" t="s">
        <v>544</v>
      </c>
      <c r="E322" t="s">
        <v>562</v>
      </c>
      <c r="F322" t="s">
        <v>567</v>
      </c>
      <c r="G322" t="s">
        <v>564</v>
      </c>
      <c r="H322" t="s">
        <v>347</v>
      </c>
      <c r="I322" t="s">
        <v>330</v>
      </c>
    </row>
    <row r="323" spans="1:13" x14ac:dyDescent="0.25">
      <c r="A323">
        <v>15</v>
      </c>
      <c r="B323" t="s">
        <v>542</v>
      </c>
      <c r="C323" t="s">
        <v>543</v>
      </c>
      <c r="D323" t="s">
        <v>544</v>
      </c>
      <c r="E323" t="s">
        <v>562</v>
      </c>
      <c r="F323" t="s">
        <v>568</v>
      </c>
      <c r="G323" t="s">
        <v>168</v>
      </c>
      <c r="H323" t="s">
        <v>435</v>
      </c>
      <c r="I323" t="s">
        <v>566</v>
      </c>
    </row>
    <row r="324" spans="1:13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x14ac:dyDescent="0.25">
      <c r="F325" s="1" t="s">
        <v>5</v>
      </c>
      <c r="G325" s="1" t="s">
        <v>333</v>
      </c>
      <c r="H325" s="1" t="s">
        <v>569</v>
      </c>
    </row>
    <row r="326" spans="1:13" x14ac:dyDescent="0.25">
      <c r="A326">
        <v>16</v>
      </c>
      <c r="B326" t="s">
        <v>570</v>
      </c>
      <c r="C326" t="s">
        <v>543</v>
      </c>
      <c r="D326" t="s">
        <v>571</v>
      </c>
      <c r="E326" t="s">
        <v>59</v>
      </c>
      <c r="F326" t="s">
        <v>572</v>
      </c>
      <c r="G326">
        <v>250</v>
      </c>
      <c r="H326" t="s">
        <v>193</v>
      </c>
    </row>
    <row r="327" spans="1:13" x14ac:dyDescent="0.25">
      <c r="A327">
        <v>16</v>
      </c>
      <c r="B327" t="s">
        <v>570</v>
      </c>
      <c r="C327" t="s">
        <v>543</v>
      </c>
      <c r="D327" t="s">
        <v>571</v>
      </c>
      <c r="E327" t="s">
        <v>59</v>
      </c>
      <c r="F327" t="s">
        <v>567</v>
      </c>
      <c r="G327">
        <v>10</v>
      </c>
      <c r="H327" t="s">
        <v>573</v>
      </c>
    </row>
    <row r="328" spans="1:13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x14ac:dyDescent="0.25">
      <c r="F329" t="s">
        <v>574</v>
      </c>
    </row>
    <row r="330" spans="1:13" x14ac:dyDescent="0.25">
      <c r="F330" s="1" t="s">
        <v>575</v>
      </c>
      <c r="G330" s="1" t="s">
        <v>13</v>
      </c>
      <c r="H330" s="1" t="s">
        <v>8</v>
      </c>
      <c r="I330" s="1" t="s">
        <v>576</v>
      </c>
    </row>
    <row r="331" spans="1:13" x14ac:dyDescent="0.25">
      <c r="A331">
        <v>17</v>
      </c>
      <c r="B331" t="s">
        <v>577</v>
      </c>
      <c r="C331" t="s">
        <v>543</v>
      </c>
      <c r="D331" t="s">
        <v>578</v>
      </c>
      <c r="E331" t="s">
        <v>545</v>
      </c>
      <c r="F331" t="s">
        <v>579</v>
      </c>
      <c r="G331" t="s">
        <v>580</v>
      </c>
      <c r="H331" t="s">
        <v>581</v>
      </c>
      <c r="I331" t="s">
        <v>582</v>
      </c>
    </row>
    <row r="332" spans="1:13" x14ac:dyDescent="0.25">
      <c r="A332">
        <v>17</v>
      </c>
      <c r="B332" t="s">
        <v>577</v>
      </c>
      <c r="C332" t="s">
        <v>543</v>
      </c>
      <c r="D332" t="s">
        <v>578</v>
      </c>
      <c r="E332" t="s">
        <v>545</v>
      </c>
      <c r="F332" t="s">
        <v>583</v>
      </c>
      <c r="G332" t="s">
        <v>584</v>
      </c>
      <c r="H332" t="s">
        <v>585</v>
      </c>
      <c r="I332" t="s">
        <v>586</v>
      </c>
    </row>
    <row r="333" spans="1:13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x14ac:dyDescent="0.25">
      <c r="F334" s="1" t="s">
        <v>396</v>
      </c>
      <c r="G334" s="1" t="s">
        <v>587</v>
      </c>
      <c r="H334" s="1" t="s">
        <v>588</v>
      </c>
    </row>
    <row r="335" spans="1:13" x14ac:dyDescent="0.25">
      <c r="A335">
        <v>18</v>
      </c>
      <c r="B335" t="s">
        <v>589</v>
      </c>
      <c r="C335" t="s">
        <v>590</v>
      </c>
      <c r="D335" t="s">
        <v>591</v>
      </c>
      <c r="E335" t="s">
        <v>592</v>
      </c>
      <c r="F335" t="s">
        <v>8</v>
      </c>
      <c r="G335" t="s">
        <v>593</v>
      </c>
      <c r="H335" t="s">
        <v>594</v>
      </c>
    </row>
    <row r="336" spans="1:13" x14ac:dyDescent="0.25">
      <c r="A336">
        <v>18</v>
      </c>
      <c r="B336" t="s">
        <v>589</v>
      </c>
      <c r="C336" t="s">
        <v>590</v>
      </c>
      <c r="D336" t="s">
        <v>591</v>
      </c>
      <c r="E336" t="s">
        <v>592</v>
      </c>
      <c r="F336" t="s">
        <v>595</v>
      </c>
      <c r="G336" t="s">
        <v>596</v>
      </c>
      <c r="H336" t="s">
        <v>597</v>
      </c>
    </row>
    <row r="337" spans="1:13" x14ac:dyDescent="0.25">
      <c r="A337">
        <v>18</v>
      </c>
      <c r="B337" t="s">
        <v>589</v>
      </c>
      <c r="C337" t="s">
        <v>590</v>
      </c>
      <c r="D337" t="s">
        <v>591</v>
      </c>
      <c r="E337" t="s">
        <v>592</v>
      </c>
      <c r="F337" t="s">
        <v>598</v>
      </c>
      <c r="G337" t="s">
        <v>599</v>
      </c>
      <c r="H337" t="s">
        <v>600</v>
      </c>
    </row>
    <row r="338" spans="1:13" x14ac:dyDescent="0.25">
      <c r="A338">
        <v>18</v>
      </c>
      <c r="B338" t="s">
        <v>589</v>
      </c>
      <c r="C338" t="s">
        <v>590</v>
      </c>
      <c r="D338" t="s">
        <v>591</v>
      </c>
      <c r="E338" t="s">
        <v>592</v>
      </c>
      <c r="F338" t="s">
        <v>14</v>
      </c>
      <c r="G338" t="s">
        <v>261</v>
      </c>
      <c r="H338" t="s">
        <v>258</v>
      </c>
    </row>
    <row r="339" spans="1:13" x14ac:dyDescent="0.25">
      <c r="A339">
        <v>18</v>
      </c>
      <c r="B339" t="s">
        <v>589</v>
      </c>
      <c r="C339" t="s">
        <v>590</v>
      </c>
      <c r="D339" t="s">
        <v>591</v>
      </c>
      <c r="E339" t="s">
        <v>592</v>
      </c>
      <c r="F339" t="s">
        <v>601</v>
      </c>
      <c r="G339" t="s">
        <v>602</v>
      </c>
      <c r="H339" t="s">
        <v>603</v>
      </c>
    </row>
    <row r="340" spans="1:13" x14ac:dyDescent="0.25">
      <c r="A340">
        <v>18</v>
      </c>
      <c r="B340" t="s">
        <v>589</v>
      </c>
      <c r="C340" t="s">
        <v>590</v>
      </c>
      <c r="D340" t="s">
        <v>591</v>
      </c>
      <c r="E340" t="s">
        <v>592</v>
      </c>
      <c r="F340" t="s">
        <v>604</v>
      </c>
      <c r="G340" t="s">
        <v>605</v>
      </c>
      <c r="H340" t="s">
        <v>606</v>
      </c>
    </row>
    <row r="341" spans="1:13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 x14ac:dyDescent="0.25">
      <c r="F342" t="s">
        <v>607</v>
      </c>
    </row>
    <row r="343" spans="1:13" x14ac:dyDescent="0.25">
      <c r="F343" s="1" t="s">
        <v>608</v>
      </c>
      <c r="G343" s="1" t="s">
        <v>609</v>
      </c>
      <c r="H343" s="1" t="s">
        <v>610</v>
      </c>
      <c r="I343" s="1" t="s">
        <v>611</v>
      </c>
      <c r="J343" s="1" t="s">
        <v>612</v>
      </c>
    </row>
    <row r="344" spans="1:13" x14ac:dyDescent="0.25">
      <c r="A344">
        <v>19</v>
      </c>
      <c r="B344" t="s">
        <v>613</v>
      </c>
      <c r="C344" t="s">
        <v>614</v>
      </c>
      <c r="D344" t="s">
        <v>615</v>
      </c>
      <c r="E344" t="s">
        <v>616</v>
      </c>
      <c r="F344" t="s">
        <v>617</v>
      </c>
      <c r="G344" t="s">
        <v>618</v>
      </c>
      <c r="H344" t="s">
        <v>619</v>
      </c>
      <c r="I344" t="s">
        <v>176</v>
      </c>
      <c r="J344" t="s">
        <v>620</v>
      </c>
    </row>
    <row r="345" spans="1:13" x14ac:dyDescent="0.25">
      <c r="A345">
        <v>19</v>
      </c>
      <c r="B345" t="s">
        <v>613</v>
      </c>
      <c r="C345" t="s">
        <v>614</v>
      </c>
      <c r="D345" t="s">
        <v>615</v>
      </c>
      <c r="E345" t="s">
        <v>616</v>
      </c>
      <c r="F345" t="s">
        <v>621</v>
      </c>
      <c r="G345" t="s">
        <v>622</v>
      </c>
      <c r="H345" t="s">
        <v>623</v>
      </c>
      <c r="I345" t="s">
        <v>33</v>
      </c>
      <c r="J345" t="s">
        <v>624</v>
      </c>
    </row>
    <row r="346" spans="1:13" x14ac:dyDescent="0.25">
      <c r="A346">
        <v>19</v>
      </c>
      <c r="B346" t="s">
        <v>613</v>
      </c>
      <c r="C346" t="s">
        <v>614</v>
      </c>
      <c r="D346" t="s">
        <v>615</v>
      </c>
      <c r="E346" t="s">
        <v>616</v>
      </c>
      <c r="F346" t="s">
        <v>625</v>
      </c>
      <c r="G346" t="s">
        <v>626</v>
      </c>
      <c r="H346" t="s">
        <v>626</v>
      </c>
      <c r="I346" t="s">
        <v>268</v>
      </c>
      <c r="J346" t="s">
        <v>627</v>
      </c>
    </row>
    <row r="347" spans="1:13" x14ac:dyDescent="0.25">
      <c r="A347">
        <v>19</v>
      </c>
      <c r="B347" t="s">
        <v>613</v>
      </c>
      <c r="C347" t="s">
        <v>614</v>
      </c>
      <c r="D347" t="s">
        <v>615</v>
      </c>
      <c r="E347" t="s">
        <v>616</v>
      </c>
      <c r="F347" t="s">
        <v>628</v>
      </c>
      <c r="G347" t="s">
        <v>629</v>
      </c>
      <c r="H347" t="s">
        <v>630</v>
      </c>
      <c r="I347" t="s">
        <v>482</v>
      </c>
      <c r="J347" t="s">
        <v>631</v>
      </c>
    </row>
    <row r="348" spans="1:13" x14ac:dyDescent="0.25">
      <c r="A348">
        <v>19</v>
      </c>
      <c r="B348" t="s">
        <v>613</v>
      </c>
      <c r="C348" t="s">
        <v>614</v>
      </c>
      <c r="D348" t="s">
        <v>615</v>
      </c>
      <c r="E348" t="s">
        <v>616</v>
      </c>
      <c r="F348" t="s">
        <v>632</v>
      </c>
      <c r="G348" t="s">
        <v>633</v>
      </c>
      <c r="H348" t="s">
        <v>630</v>
      </c>
      <c r="I348" t="s">
        <v>33</v>
      </c>
      <c r="J348" t="s">
        <v>631</v>
      </c>
    </row>
    <row r="349" spans="1:13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x14ac:dyDescent="0.25">
      <c r="F350" t="s">
        <v>634</v>
      </c>
    </row>
    <row r="351" spans="1:13" x14ac:dyDescent="0.25">
      <c r="F351" s="1" t="s">
        <v>748</v>
      </c>
      <c r="G351" s="1" t="s">
        <v>635</v>
      </c>
      <c r="H351" s="1" t="s">
        <v>13</v>
      </c>
      <c r="I351" s="1" t="s">
        <v>636</v>
      </c>
      <c r="J351" s="1" t="s">
        <v>637</v>
      </c>
    </row>
    <row r="352" spans="1:13" x14ac:dyDescent="0.25">
      <c r="A352">
        <v>20</v>
      </c>
      <c r="B352" t="s">
        <v>638</v>
      </c>
      <c r="C352" t="s">
        <v>639</v>
      </c>
      <c r="D352" t="s">
        <v>640</v>
      </c>
      <c r="E352" t="s">
        <v>545</v>
      </c>
      <c r="F352" t="s">
        <v>641</v>
      </c>
      <c r="G352">
        <v>50</v>
      </c>
      <c r="H352" t="s">
        <v>642</v>
      </c>
      <c r="I352">
        <v>24</v>
      </c>
      <c r="J352">
        <v>1</v>
      </c>
    </row>
    <row r="353" spans="1:13" x14ac:dyDescent="0.25">
      <c r="A353">
        <v>20</v>
      </c>
      <c r="B353" t="s">
        <v>638</v>
      </c>
      <c r="C353" t="s">
        <v>639</v>
      </c>
      <c r="D353" t="s">
        <v>640</v>
      </c>
      <c r="E353" t="s">
        <v>545</v>
      </c>
      <c r="F353" t="s">
        <v>643</v>
      </c>
      <c r="G353">
        <v>100</v>
      </c>
      <c r="H353" t="s">
        <v>642</v>
      </c>
      <c r="I353">
        <v>512</v>
      </c>
      <c r="J353">
        <v>2</v>
      </c>
    </row>
    <row r="354" spans="1:13" x14ac:dyDescent="0.25">
      <c r="A354">
        <v>20</v>
      </c>
      <c r="B354" t="s">
        <v>638</v>
      </c>
      <c r="C354" t="s">
        <v>639</v>
      </c>
      <c r="D354" t="s">
        <v>640</v>
      </c>
      <c r="E354" t="s">
        <v>545</v>
      </c>
      <c r="F354" t="s">
        <v>644</v>
      </c>
      <c r="G354">
        <v>500</v>
      </c>
      <c r="H354" s="3" t="s">
        <v>710</v>
      </c>
      <c r="I354">
        <v>250</v>
      </c>
      <c r="J354">
        <v>3</v>
      </c>
    </row>
    <row r="355" spans="1:13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 x14ac:dyDescent="0.25">
      <c r="F356" t="s">
        <v>646</v>
      </c>
    </row>
    <row r="357" spans="1:13" x14ac:dyDescent="0.25">
      <c r="F357" s="1" t="s">
        <v>647</v>
      </c>
      <c r="G357" s="1" t="s">
        <v>576</v>
      </c>
      <c r="H357" s="1" t="s">
        <v>648</v>
      </c>
      <c r="I357" s="1" t="s">
        <v>649</v>
      </c>
      <c r="J357" s="1" t="s">
        <v>650</v>
      </c>
      <c r="K357" s="1" t="s">
        <v>539</v>
      </c>
      <c r="L357" s="1" t="s">
        <v>651</v>
      </c>
      <c r="M357" s="1" t="s">
        <v>8</v>
      </c>
    </row>
    <row r="358" spans="1:13" x14ac:dyDescent="0.25">
      <c r="A358">
        <v>21</v>
      </c>
      <c r="B358" t="s">
        <v>652</v>
      </c>
      <c r="C358" t="s">
        <v>639</v>
      </c>
      <c r="D358" t="s">
        <v>653</v>
      </c>
      <c r="E358" t="s">
        <v>654</v>
      </c>
      <c r="F358" t="s">
        <v>655</v>
      </c>
      <c r="G358" t="s">
        <v>656</v>
      </c>
      <c r="H358" t="s">
        <v>657</v>
      </c>
      <c r="I358" t="s">
        <v>658</v>
      </c>
      <c r="J358" t="s">
        <v>659</v>
      </c>
      <c r="K358" t="s">
        <v>660</v>
      </c>
      <c r="L358" t="s">
        <v>330</v>
      </c>
      <c r="M358" t="s">
        <v>661</v>
      </c>
    </row>
    <row r="359" spans="1:13" x14ac:dyDescent="0.25">
      <c r="A359">
        <v>21</v>
      </c>
      <c r="B359" t="s">
        <v>652</v>
      </c>
      <c r="C359" t="s">
        <v>639</v>
      </c>
      <c r="D359" t="s">
        <v>653</v>
      </c>
      <c r="E359" t="s">
        <v>654</v>
      </c>
      <c r="F359" t="s">
        <v>662</v>
      </c>
      <c r="G359" t="s">
        <v>656</v>
      </c>
      <c r="H359" t="s">
        <v>663</v>
      </c>
      <c r="I359" t="s">
        <v>658</v>
      </c>
      <c r="J359" t="s">
        <v>664</v>
      </c>
      <c r="K359" t="s">
        <v>320</v>
      </c>
      <c r="L359" t="s">
        <v>330</v>
      </c>
      <c r="M359" t="s">
        <v>661</v>
      </c>
    </row>
    <row r="360" spans="1:13" x14ac:dyDescent="0.25">
      <c r="A360">
        <v>21</v>
      </c>
      <c r="B360" t="s">
        <v>652</v>
      </c>
      <c r="C360" t="s">
        <v>639</v>
      </c>
      <c r="D360" t="s">
        <v>653</v>
      </c>
      <c r="E360" t="s">
        <v>654</v>
      </c>
      <c r="F360" t="s">
        <v>665</v>
      </c>
      <c r="G360" t="s">
        <v>162</v>
      </c>
      <c r="H360" t="s">
        <v>658</v>
      </c>
      <c r="I360">
        <v>2</v>
      </c>
      <c r="J360" t="s">
        <v>658</v>
      </c>
      <c r="K360" t="s">
        <v>330</v>
      </c>
      <c r="L360" t="s">
        <v>327</v>
      </c>
      <c r="M360" t="s">
        <v>661</v>
      </c>
    </row>
    <row r="361" spans="1:13" x14ac:dyDescent="0.25">
      <c r="A361">
        <v>21</v>
      </c>
      <c r="B361" t="s">
        <v>652</v>
      </c>
      <c r="C361" t="s">
        <v>639</v>
      </c>
      <c r="D361" t="s">
        <v>653</v>
      </c>
      <c r="E361" t="s">
        <v>654</v>
      </c>
      <c r="F361" t="s">
        <v>666</v>
      </c>
      <c r="G361" t="s">
        <v>667</v>
      </c>
      <c r="H361" t="s">
        <v>668</v>
      </c>
      <c r="I361" t="s">
        <v>658</v>
      </c>
      <c r="J361" t="s">
        <v>658</v>
      </c>
      <c r="K361" t="s">
        <v>320</v>
      </c>
      <c r="L361" t="s">
        <v>658</v>
      </c>
      <c r="M361" t="s">
        <v>661</v>
      </c>
    </row>
    <row r="362" spans="1:13" x14ac:dyDescent="0.25">
      <c r="A362">
        <v>21</v>
      </c>
      <c r="B362" t="s">
        <v>652</v>
      </c>
      <c r="C362" t="s">
        <v>639</v>
      </c>
      <c r="D362" t="s">
        <v>653</v>
      </c>
      <c r="E362" t="s">
        <v>654</v>
      </c>
      <c r="F362" t="s">
        <v>669</v>
      </c>
      <c r="G362" t="s">
        <v>670</v>
      </c>
      <c r="H362" t="s">
        <v>663</v>
      </c>
      <c r="I362" t="s">
        <v>671</v>
      </c>
      <c r="J362" t="s">
        <v>664</v>
      </c>
      <c r="K362" t="s">
        <v>330</v>
      </c>
      <c r="L362" t="s">
        <v>330</v>
      </c>
      <c r="M362" t="s">
        <v>64</v>
      </c>
    </row>
    <row r="363" spans="1:13" x14ac:dyDescent="0.25">
      <c r="A363">
        <v>21</v>
      </c>
      <c r="B363" t="s">
        <v>652</v>
      </c>
      <c r="C363" t="s">
        <v>639</v>
      </c>
      <c r="D363" t="s">
        <v>653</v>
      </c>
      <c r="E363" t="s">
        <v>654</v>
      </c>
      <c r="F363" t="s">
        <v>672</v>
      </c>
      <c r="G363" t="s">
        <v>673</v>
      </c>
      <c r="H363" t="s">
        <v>658</v>
      </c>
      <c r="I363" t="s">
        <v>658</v>
      </c>
      <c r="J363" t="s">
        <v>658</v>
      </c>
      <c r="K363" t="s">
        <v>320</v>
      </c>
      <c r="L363" t="s">
        <v>330</v>
      </c>
      <c r="M363" t="s">
        <v>64</v>
      </c>
    </row>
    <row r="364" spans="1:13" x14ac:dyDescent="0.25">
      <c r="A364">
        <v>21</v>
      </c>
      <c r="B364" t="s">
        <v>652</v>
      </c>
      <c r="C364" t="s">
        <v>639</v>
      </c>
      <c r="D364" t="s">
        <v>653</v>
      </c>
      <c r="E364" t="s">
        <v>654</v>
      </c>
      <c r="F364" t="s">
        <v>674</v>
      </c>
      <c r="G364" t="s">
        <v>675</v>
      </c>
      <c r="H364" t="s">
        <v>658</v>
      </c>
      <c r="I364" t="s">
        <v>676</v>
      </c>
      <c r="J364" t="s">
        <v>658</v>
      </c>
      <c r="K364" t="s">
        <v>330</v>
      </c>
      <c r="L364" t="s">
        <v>327</v>
      </c>
      <c r="M364" t="s">
        <v>64</v>
      </c>
    </row>
    <row r="365" spans="1:13" x14ac:dyDescent="0.25">
      <c r="A365">
        <v>21</v>
      </c>
      <c r="B365" t="s">
        <v>652</v>
      </c>
      <c r="C365" t="s">
        <v>639</v>
      </c>
      <c r="D365" t="s">
        <v>653</v>
      </c>
      <c r="E365" t="s">
        <v>654</v>
      </c>
      <c r="F365" t="s">
        <v>677</v>
      </c>
      <c r="G365" t="s">
        <v>675</v>
      </c>
      <c r="H365" t="s">
        <v>678</v>
      </c>
      <c r="I365" t="s">
        <v>676</v>
      </c>
      <c r="J365" t="s">
        <v>664</v>
      </c>
      <c r="K365" t="s">
        <v>330</v>
      </c>
      <c r="L365" t="s">
        <v>330</v>
      </c>
      <c r="M365" t="s">
        <v>661</v>
      </c>
    </row>
    <row r="366" spans="1:13" x14ac:dyDescent="0.25">
      <c r="A366">
        <v>21</v>
      </c>
      <c r="B366" t="s">
        <v>652</v>
      </c>
      <c r="C366" t="s">
        <v>639</v>
      </c>
      <c r="D366" t="s">
        <v>653</v>
      </c>
      <c r="E366" t="s">
        <v>654</v>
      </c>
      <c r="F366" t="s">
        <v>679</v>
      </c>
      <c r="G366" t="s">
        <v>680</v>
      </c>
      <c r="H366" t="s">
        <v>681</v>
      </c>
      <c r="I366" t="s">
        <v>671</v>
      </c>
      <c r="J366" t="s">
        <v>659</v>
      </c>
      <c r="K366" t="s">
        <v>320</v>
      </c>
      <c r="L366" t="s">
        <v>658</v>
      </c>
      <c r="M366" t="s">
        <v>64</v>
      </c>
    </row>
    <row r="367" spans="1:13" x14ac:dyDescent="0.25">
      <c r="A367">
        <v>21</v>
      </c>
      <c r="B367" t="s">
        <v>652</v>
      </c>
      <c r="C367" t="s">
        <v>639</v>
      </c>
      <c r="D367" t="s">
        <v>653</v>
      </c>
      <c r="E367" t="s">
        <v>654</v>
      </c>
      <c r="F367" t="s">
        <v>682</v>
      </c>
      <c r="G367" t="s">
        <v>675</v>
      </c>
      <c r="H367" t="s">
        <v>658</v>
      </c>
      <c r="I367" t="s">
        <v>676</v>
      </c>
      <c r="J367" t="s">
        <v>658</v>
      </c>
      <c r="K367" t="s">
        <v>320</v>
      </c>
      <c r="L367" t="s">
        <v>658</v>
      </c>
      <c r="M367" t="s">
        <v>64</v>
      </c>
    </row>
    <row r="368" spans="1:13" x14ac:dyDescent="0.25">
      <c r="A368">
        <v>21</v>
      </c>
      <c r="B368" t="s">
        <v>652</v>
      </c>
      <c r="C368" t="s">
        <v>639</v>
      </c>
      <c r="D368" t="s">
        <v>653</v>
      </c>
      <c r="E368" t="s">
        <v>654</v>
      </c>
      <c r="F368" t="s">
        <v>683</v>
      </c>
      <c r="G368" t="s">
        <v>684</v>
      </c>
      <c r="H368" t="s">
        <v>685</v>
      </c>
      <c r="I368" t="s">
        <v>658</v>
      </c>
      <c r="J368" t="s">
        <v>664</v>
      </c>
      <c r="K368" t="s">
        <v>320</v>
      </c>
      <c r="L368" t="s">
        <v>658</v>
      </c>
      <c r="M368" t="s">
        <v>661</v>
      </c>
    </row>
    <row r="369" spans="1:13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 x14ac:dyDescent="0.25">
      <c r="F370" t="s">
        <v>686</v>
      </c>
    </row>
    <row r="371" spans="1:13" x14ac:dyDescent="0.25">
      <c r="F371" s="1" t="s">
        <v>690</v>
      </c>
      <c r="G371" s="1" t="s">
        <v>8</v>
      </c>
      <c r="H371" s="1" t="s">
        <v>13</v>
      </c>
      <c r="I371" s="1" t="s">
        <v>691</v>
      </c>
      <c r="J371" s="1" t="s">
        <v>692</v>
      </c>
      <c r="K371" s="1" t="s">
        <v>575</v>
      </c>
    </row>
    <row r="372" spans="1:13" x14ac:dyDescent="0.25">
      <c r="A372">
        <v>22</v>
      </c>
      <c r="B372" t="s">
        <v>687</v>
      </c>
      <c r="C372" t="s">
        <v>688</v>
      </c>
      <c r="D372" t="s">
        <v>689</v>
      </c>
      <c r="E372" t="s">
        <v>545</v>
      </c>
      <c r="F372" t="s">
        <v>693</v>
      </c>
      <c r="G372" t="s">
        <v>172</v>
      </c>
      <c r="H372" t="s">
        <v>642</v>
      </c>
      <c r="I372" t="s">
        <v>694</v>
      </c>
      <c r="J372">
        <v>1</v>
      </c>
      <c r="K372" t="s">
        <v>695</v>
      </c>
    </row>
    <row r="373" spans="1:13" x14ac:dyDescent="0.25">
      <c r="A373">
        <v>22</v>
      </c>
      <c r="B373" t="s">
        <v>687</v>
      </c>
      <c r="C373" t="s">
        <v>688</v>
      </c>
      <c r="D373" t="s">
        <v>689</v>
      </c>
      <c r="E373" t="s">
        <v>545</v>
      </c>
      <c r="F373" t="s">
        <v>696</v>
      </c>
      <c r="G373" t="s">
        <v>35</v>
      </c>
      <c r="H373" t="s">
        <v>642</v>
      </c>
      <c r="I373" t="s">
        <v>697</v>
      </c>
      <c r="J373">
        <v>2</v>
      </c>
      <c r="K373" t="s">
        <v>698</v>
      </c>
    </row>
    <row r="374" spans="1:13" x14ac:dyDescent="0.25">
      <c r="A374">
        <v>22</v>
      </c>
      <c r="B374" t="s">
        <v>687</v>
      </c>
      <c r="C374" t="s">
        <v>688</v>
      </c>
      <c r="D374" t="s">
        <v>689</v>
      </c>
      <c r="E374" t="s">
        <v>545</v>
      </c>
      <c r="F374" t="s">
        <v>699</v>
      </c>
      <c r="G374" t="s">
        <v>474</v>
      </c>
      <c r="H374" t="s">
        <v>645</v>
      </c>
      <c r="I374" t="s">
        <v>700</v>
      </c>
      <c r="J374">
        <v>3</v>
      </c>
      <c r="K374" t="s">
        <v>701</v>
      </c>
    </row>
    <row r="375" spans="1:13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257D-4C58-46B5-B56A-B2B93E4AED6E}">
  <dimension ref="A1:P306"/>
  <sheetViews>
    <sheetView tabSelected="1" topLeftCell="A253" zoomScaleNormal="100" workbookViewId="0">
      <selection activeCell="AC273" sqref="AC273"/>
    </sheetView>
  </sheetViews>
  <sheetFormatPr defaultRowHeight="15" x14ac:dyDescent="0.25"/>
  <cols>
    <col min="1" max="1" width="3.42578125" customWidth="1"/>
    <col min="2" max="2" width="8.5703125" customWidth="1"/>
    <col min="3" max="3" width="5.140625" customWidth="1"/>
    <col min="4" max="4" width="47.42578125" customWidth="1"/>
    <col min="5" max="5" width="10.85546875" customWidth="1"/>
    <col min="6" max="6" width="11.42578125" customWidth="1"/>
    <col min="7" max="7" width="46.28515625" customWidth="1"/>
    <col min="8" max="8" width="63.85546875" customWidth="1"/>
    <col min="9" max="9" width="17.5703125" customWidth="1"/>
    <col min="10" max="10" width="12.7109375" customWidth="1"/>
    <col min="11" max="11" width="13.85546875" customWidth="1"/>
    <col min="12" max="12" width="19.28515625" customWidth="1"/>
    <col min="13" max="13" width="1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730</v>
      </c>
      <c r="I1" s="1"/>
      <c r="J1" s="1"/>
      <c r="K1" s="1"/>
      <c r="L1" s="1"/>
    </row>
    <row r="2" spans="1:13" x14ac:dyDescent="0.25">
      <c r="F2" s="1" t="s">
        <v>5</v>
      </c>
      <c r="G2" s="1" t="s">
        <v>691</v>
      </c>
      <c r="H2" s="1" t="s">
        <v>731</v>
      </c>
      <c r="I2" s="1" t="s">
        <v>9</v>
      </c>
      <c r="J2" s="1" t="s">
        <v>732</v>
      </c>
    </row>
    <row r="3" spans="1:13" x14ac:dyDescent="0.25">
      <c r="A3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28</v>
      </c>
      <c r="I3" t="s">
        <v>29</v>
      </c>
      <c r="J3" t="s">
        <v>30</v>
      </c>
    </row>
    <row r="4" spans="1:13" x14ac:dyDescent="0.25">
      <c r="A4">
        <v>1</v>
      </c>
      <c r="B4" t="s">
        <v>21</v>
      </c>
      <c r="C4" t="s">
        <v>22</v>
      </c>
      <c r="D4" t="s">
        <v>23</v>
      </c>
      <c r="E4" t="s">
        <v>24</v>
      </c>
      <c r="F4" t="s">
        <v>733</v>
      </c>
      <c r="G4" t="s">
        <v>26</v>
      </c>
      <c r="H4" t="s">
        <v>28</v>
      </c>
      <c r="I4" t="s">
        <v>31</v>
      </c>
      <c r="J4" t="s">
        <v>30</v>
      </c>
    </row>
    <row r="5" spans="1:13" x14ac:dyDescent="0.25">
      <c r="A5">
        <v>1</v>
      </c>
      <c r="B5" t="s">
        <v>21</v>
      </c>
      <c r="C5" t="s">
        <v>22</v>
      </c>
      <c r="D5" t="s">
        <v>23</v>
      </c>
      <c r="E5" t="s">
        <v>24</v>
      </c>
      <c r="F5" t="s">
        <v>32</v>
      </c>
      <c r="G5" t="s">
        <v>26</v>
      </c>
      <c r="H5" t="s">
        <v>28</v>
      </c>
      <c r="I5" t="s">
        <v>33</v>
      </c>
      <c r="J5" t="s">
        <v>30</v>
      </c>
    </row>
    <row r="6" spans="1:13" x14ac:dyDescent="0.25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34</v>
      </c>
      <c r="G6" t="s">
        <v>26</v>
      </c>
      <c r="H6" t="s">
        <v>28</v>
      </c>
      <c r="I6" t="s">
        <v>35</v>
      </c>
      <c r="J6" t="s">
        <v>30</v>
      </c>
    </row>
    <row r="7" spans="1:1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F8" s="1" t="s">
        <v>5</v>
      </c>
      <c r="G8" s="1" t="s">
        <v>729</v>
      </c>
    </row>
    <row r="9" spans="1:13" x14ac:dyDescent="0.25">
      <c r="A9">
        <v>2</v>
      </c>
      <c r="B9" t="s">
        <v>36</v>
      </c>
      <c r="C9" t="s">
        <v>22</v>
      </c>
      <c r="D9" t="s">
        <v>37</v>
      </c>
      <c r="E9" t="s">
        <v>38</v>
      </c>
      <c r="F9" t="s">
        <v>39</v>
      </c>
      <c r="G9" t="s">
        <v>40</v>
      </c>
    </row>
    <row r="10" spans="1:13" x14ac:dyDescent="0.25">
      <c r="A10">
        <v>2</v>
      </c>
      <c r="B10" t="s">
        <v>36</v>
      </c>
      <c r="C10" t="s">
        <v>22</v>
      </c>
      <c r="D10" t="s">
        <v>37</v>
      </c>
      <c r="E10" t="s">
        <v>38</v>
      </c>
      <c r="F10" t="s">
        <v>41</v>
      </c>
      <c r="G10" t="s">
        <v>42</v>
      </c>
    </row>
    <row r="11" spans="1:13" x14ac:dyDescent="0.25">
      <c r="A11">
        <v>2</v>
      </c>
      <c r="B11" t="s">
        <v>36</v>
      </c>
      <c r="C11" t="s">
        <v>22</v>
      </c>
      <c r="D11" t="s">
        <v>37</v>
      </c>
      <c r="E11" t="s">
        <v>38</v>
      </c>
      <c r="F11" t="s">
        <v>43</v>
      </c>
      <c r="G11" t="s">
        <v>44</v>
      </c>
    </row>
    <row r="12" spans="1:13" x14ac:dyDescent="0.25">
      <c r="A12">
        <v>2</v>
      </c>
      <c r="B12" t="s">
        <v>36</v>
      </c>
      <c r="C12" t="s">
        <v>22</v>
      </c>
      <c r="D12" t="s">
        <v>37</v>
      </c>
      <c r="E12" t="s">
        <v>38</v>
      </c>
      <c r="F12" t="s">
        <v>45</v>
      </c>
      <c r="G12" t="s">
        <v>46</v>
      </c>
    </row>
    <row r="13" spans="1:13" x14ac:dyDescent="0.25">
      <c r="A13">
        <v>2</v>
      </c>
      <c r="B13" t="s">
        <v>36</v>
      </c>
      <c r="C13" t="s">
        <v>22</v>
      </c>
      <c r="D13" t="s">
        <v>37</v>
      </c>
      <c r="E13" t="s">
        <v>38</v>
      </c>
      <c r="F13" t="s">
        <v>47</v>
      </c>
      <c r="G13" t="s">
        <v>48</v>
      </c>
    </row>
    <row r="14" spans="1:13" x14ac:dyDescent="0.25">
      <c r="A14">
        <v>2</v>
      </c>
      <c r="B14" t="s">
        <v>36</v>
      </c>
      <c r="C14" t="s">
        <v>22</v>
      </c>
      <c r="D14" t="s">
        <v>37</v>
      </c>
      <c r="E14" t="s">
        <v>38</v>
      </c>
      <c r="F14" t="s">
        <v>49</v>
      </c>
      <c r="G14" t="s">
        <v>50</v>
      </c>
    </row>
    <row r="15" spans="1:13" x14ac:dyDescent="0.25">
      <c r="A15">
        <v>2</v>
      </c>
      <c r="B15" t="s">
        <v>36</v>
      </c>
      <c r="C15" t="s">
        <v>22</v>
      </c>
      <c r="D15" t="s">
        <v>37</v>
      </c>
      <c r="E15" t="s">
        <v>38</v>
      </c>
      <c r="F15" t="s">
        <v>51</v>
      </c>
      <c r="G15" t="s">
        <v>52</v>
      </c>
    </row>
    <row r="16" spans="1:13" x14ac:dyDescent="0.25">
      <c r="A16">
        <v>2</v>
      </c>
      <c r="B16" t="s">
        <v>36</v>
      </c>
      <c r="C16" t="s">
        <v>22</v>
      </c>
      <c r="D16" t="s">
        <v>37</v>
      </c>
      <c r="E16" t="s">
        <v>38</v>
      </c>
      <c r="F16" t="s">
        <v>53</v>
      </c>
      <c r="G16" t="s">
        <v>54</v>
      </c>
    </row>
    <row r="17" spans="1:13" x14ac:dyDescent="0.25">
      <c r="A17">
        <v>2</v>
      </c>
      <c r="B17" t="s">
        <v>36</v>
      </c>
      <c r="C17" t="s">
        <v>22</v>
      </c>
      <c r="D17" t="s">
        <v>37</v>
      </c>
      <c r="E17" t="s">
        <v>38</v>
      </c>
      <c r="F17" t="s">
        <v>55</v>
      </c>
      <c r="G17" t="s">
        <v>52</v>
      </c>
    </row>
    <row r="18" spans="1:1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F19" t="s">
        <v>726</v>
      </c>
    </row>
    <row r="20" spans="1:13" x14ac:dyDescent="0.25">
      <c r="F20" s="1" t="s">
        <v>725</v>
      </c>
      <c r="G20" s="1" t="s">
        <v>331</v>
      </c>
      <c r="H20" s="1" t="s">
        <v>8</v>
      </c>
      <c r="I20" s="1" t="s">
        <v>10</v>
      </c>
      <c r="J20" s="1" t="s">
        <v>12</v>
      </c>
      <c r="K20" s="1" t="s">
        <v>702</v>
      </c>
      <c r="L20" s="1" t="s">
        <v>14</v>
      </c>
      <c r="M20" s="1" t="s">
        <v>15</v>
      </c>
    </row>
    <row r="21" spans="1:13" x14ac:dyDescent="0.25">
      <c r="A21">
        <v>3</v>
      </c>
      <c r="B21" t="s">
        <v>56</v>
      </c>
      <c r="C21" t="s">
        <v>57</v>
      </c>
      <c r="D21" t="s">
        <v>58</v>
      </c>
      <c r="E21" t="s">
        <v>59</v>
      </c>
      <c r="F21" t="s">
        <v>745</v>
      </c>
      <c r="G21" t="s">
        <v>579</v>
      </c>
      <c r="H21" t="s">
        <v>61</v>
      </c>
      <c r="I21" t="s">
        <v>27</v>
      </c>
      <c r="J21" t="s">
        <v>62</v>
      </c>
      <c r="K21" t="s">
        <v>60</v>
      </c>
      <c r="L21" t="s">
        <v>63</v>
      </c>
      <c r="M21" t="s">
        <v>727</v>
      </c>
    </row>
    <row r="22" spans="1:13" x14ac:dyDescent="0.25">
      <c r="A22">
        <v>3</v>
      </c>
      <c r="B22" t="s">
        <v>56</v>
      </c>
      <c r="C22" t="s">
        <v>57</v>
      </c>
      <c r="D22" t="s">
        <v>58</v>
      </c>
      <c r="E22" t="s">
        <v>59</v>
      </c>
      <c r="F22" t="s">
        <v>745</v>
      </c>
      <c r="G22" t="s">
        <v>747</v>
      </c>
      <c r="H22" t="s">
        <v>65</v>
      </c>
      <c r="I22" t="s">
        <v>27</v>
      </c>
      <c r="J22" t="s">
        <v>66</v>
      </c>
      <c r="K22" t="s">
        <v>64</v>
      </c>
      <c r="L22" t="s">
        <v>63</v>
      </c>
      <c r="M22" t="s">
        <v>728</v>
      </c>
    </row>
    <row r="23" spans="1:13" x14ac:dyDescent="0.25">
      <c r="A23">
        <v>3</v>
      </c>
      <c r="B23" t="s">
        <v>56</v>
      </c>
      <c r="C23" t="s">
        <v>57</v>
      </c>
      <c r="D23" t="s">
        <v>58</v>
      </c>
      <c r="E23" t="s">
        <v>59</v>
      </c>
      <c r="F23" t="s">
        <v>746</v>
      </c>
      <c r="G23" t="s">
        <v>747</v>
      </c>
      <c r="H23" t="s">
        <v>68</v>
      </c>
      <c r="I23" t="s">
        <v>69</v>
      </c>
      <c r="J23" t="s">
        <v>66</v>
      </c>
      <c r="K23" t="s">
        <v>67</v>
      </c>
      <c r="L23" t="s">
        <v>63</v>
      </c>
      <c r="M23" t="s">
        <v>728</v>
      </c>
    </row>
    <row r="24" spans="1:1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5">
      <c r="F25" s="1" t="s">
        <v>308</v>
      </c>
      <c r="G25" s="1" t="s">
        <v>16</v>
      </c>
      <c r="H25" s="1" t="s">
        <v>575</v>
      </c>
    </row>
    <row r="26" spans="1:13" x14ac:dyDescent="0.25">
      <c r="A26">
        <v>4</v>
      </c>
      <c r="B26" t="s">
        <v>70</v>
      </c>
      <c r="C26" t="s">
        <v>57</v>
      </c>
      <c r="D26" t="s">
        <v>71</v>
      </c>
      <c r="E26" t="s">
        <v>24</v>
      </c>
      <c r="F26" t="s">
        <v>73</v>
      </c>
      <c r="G26" t="s">
        <v>74</v>
      </c>
      <c r="H26" t="s">
        <v>72</v>
      </c>
    </row>
    <row r="27" spans="1:13" x14ac:dyDescent="0.25">
      <c r="A27">
        <v>4</v>
      </c>
      <c r="B27" t="s">
        <v>70</v>
      </c>
      <c r="C27" t="s">
        <v>57</v>
      </c>
      <c r="D27" t="s">
        <v>71</v>
      </c>
      <c r="E27" t="s">
        <v>24</v>
      </c>
      <c r="F27" t="s">
        <v>76</v>
      </c>
      <c r="G27" t="s">
        <v>74</v>
      </c>
      <c r="H27" t="s">
        <v>75</v>
      </c>
    </row>
    <row r="28" spans="1:13" x14ac:dyDescent="0.25">
      <c r="A28">
        <v>4</v>
      </c>
      <c r="B28" t="s">
        <v>70</v>
      </c>
      <c r="C28" t="s">
        <v>57</v>
      </c>
      <c r="D28" t="s">
        <v>71</v>
      </c>
      <c r="E28" t="s">
        <v>24</v>
      </c>
      <c r="F28" t="s">
        <v>78</v>
      </c>
      <c r="G28" t="s">
        <v>74</v>
      </c>
      <c r="H28" t="s">
        <v>77</v>
      </c>
    </row>
    <row r="29" spans="1:13" x14ac:dyDescent="0.25">
      <c r="A29">
        <v>4</v>
      </c>
      <c r="B29" t="s">
        <v>70</v>
      </c>
      <c r="C29" t="s">
        <v>57</v>
      </c>
      <c r="D29" t="s">
        <v>71</v>
      </c>
      <c r="E29" t="s">
        <v>24</v>
      </c>
      <c r="F29" t="s">
        <v>79</v>
      </c>
      <c r="G29" t="s">
        <v>80</v>
      </c>
      <c r="H29" t="s">
        <v>75</v>
      </c>
    </row>
    <row r="30" spans="1:13" x14ac:dyDescent="0.25">
      <c r="A30">
        <v>4</v>
      </c>
      <c r="B30" t="s">
        <v>70</v>
      </c>
      <c r="C30" t="s">
        <v>57</v>
      </c>
      <c r="D30" t="s">
        <v>71</v>
      </c>
      <c r="E30" t="s">
        <v>24</v>
      </c>
      <c r="F30" t="s">
        <v>81</v>
      </c>
      <c r="G30" t="s">
        <v>80</v>
      </c>
      <c r="H30" t="s">
        <v>77</v>
      </c>
    </row>
    <row r="31" spans="1:13" x14ac:dyDescent="0.25">
      <c r="A31">
        <v>4</v>
      </c>
      <c r="B31" t="s">
        <v>70</v>
      </c>
      <c r="C31" t="s">
        <v>57</v>
      </c>
      <c r="D31" t="s">
        <v>71</v>
      </c>
      <c r="E31" t="s">
        <v>24</v>
      </c>
      <c r="F31" t="s">
        <v>82</v>
      </c>
      <c r="G31" t="s">
        <v>83</v>
      </c>
      <c r="H31" t="s">
        <v>75</v>
      </c>
    </row>
    <row r="32" spans="1:13" x14ac:dyDescent="0.25">
      <c r="A32">
        <v>4</v>
      </c>
      <c r="B32" t="s">
        <v>70</v>
      </c>
      <c r="C32" t="s">
        <v>57</v>
      </c>
      <c r="D32" t="s">
        <v>71</v>
      </c>
      <c r="E32" t="s">
        <v>24</v>
      </c>
      <c r="F32" t="s">
        <v>84</v>
      </c>
      <c r="G32" t="s">
        <v>83</v>
      </c>
      <c r="H32" t="s">
        <v>72</v>
      </c>
    </row>
    <row r="33" spans="1:13" x14ac:dyDescent="0.25">
      <c r="A33">
        <v>4</v>
      </c>
      <c r="B33" t="s">
        <v>70</v>
      </c>
      <c r="C33" t="s">
        <v>57</v>
      </c>
      <c r="D33" t="s">
        <v>71</v>
      </c>
      <c r="E33" t="s">
        <v>24</v>
      </c>
      <c r="F33" t="s">
        <v>85</v>
      </c>
      <c r="G33" t="s">
        <v>83</v>
      </c>
      <c r="H33" t="s">
        <v>77</v>
      </c>
    </row>
    <row r="34" spans="1:13" x14ac:dyDescent="0.25">
      <c r="A34">
        <v>4</v>
      </c>
      <c r="B34" t="s">
        <v>70</v>
      </c>
      <c r="C34" t="s">
        <v>57</v>
      </c>
      <c r="D34" t="s">
        <v>71</v>
      </c>
      <c r="E34" t="s">
        <v>24</v>
      </c>
      <c r="F34" t="s">
        <v>86</v>
      </c>
      <c r="G34" t="s">
        <v>87</v>
      </c>
      <c r="H34" t="s">
        <v>72</v>
      </c>
    </row>
    <row r="35" spans="1:13" x14ac:dyDescent="0.25">
      <c r="A35">
        <v>4</v>
      </c>
      <c r="B35" t="s">
        <v>70</v>
      </c>
      <c r="C35" t="s">
        <v>57</v>
      </c>
      <c r="D35" t="s">
        <v>71</v>
      </c>
      <c r="E35" t="s">
        <v>24</v>
      </c>
      <c r="F35" t="s">
        <v>89</v>
      </c>
      <c r="G35" t="s">
        <v>87</v>
      </c>
      <c r="H35" t="s">
        <v>88</v>
      </c>
    </row>
    <row r="36" spans="1:13" x14ac:dyDescent="0.25">
      <c r="A36">
        <v>4</v>
      </c>
      <c r="B36" t="s">
        <v>70</v>
      </c>
      <c r="C36" t="s">
        <v>57</v>
      </c>
      <c r="D36" t="s">
        <v>71</v>
      </c>
      <c r="E36" t="s">
        <v>24</v>
      </c>
      <c r="F36" t="s">
        <v>90</v>
      </c>
      <c r="G36" t="s">
        <v>87</v>
      </c>
      <c r="H36" t="s">
        <v>77</v>
      </c>
    </row>
    <row r="37" spans="1:13" x14ac:dyDescent="0.25">
      <c r="A37">
        <v>4</v>
      </c>
      <c r="B37" t="s">
        <v>70</v>
      </c>
      <c r="C37" t="s">
        <v>57</v>
      </c>
      <c r="D37" t="s">
        <v>71</v>
      </c>
      <c r="E37" t="s">
        <v>24</v>
      </c>
      <c r="F37" t="s">
        <v>91</v>
      </c>
      <c r="G37" t="s">
        <v>92</v>
      </c>
      <c r="H37" t="s">
        <v>88</v>
      </c>
    </row>
    <row r="38" spans="1:13" x14ac:dyDescent="0.25">
      <c r="A38">
        <v>4</v>
      </c>
      <c r="B38" t="s">
        <v>70</v>
      </c>
      <c r="C38" t="s">
        <v>57</v>
      </c>
      <c r="D38" t="s">
        <v>71</v>
      </c>
      <c r="E38" t="s">
        <v>24</v>
      </c>
      <c r="F38" t="s">
        <v>93</v>
      </c>
      <c r="G38" t="s">
        <v>94</v>
      </c>
      <c r="H38" t="s">
        <v>88</v>
      </c>
    </row>
    <row r="39" spans="1:13" x14ac:dyDescent="0.25">
      <c r="A39">
        <v>4</v>
      </c>
      <c r="B39" t="s">
        <v>70</v>
      </c>
      <c r="C39" t="s">
        <v>57</v>
      </c>
      <c r="D39" t="s">
        <v>71</v>
      </c>
      <c r="E39" t="s">
        <v>24</v>
      </c>
      <c r="F39" t="s">
        <v>95</v>
      </c>
      <c r="G39" t="s">
        <v>94</v>
      </c>
      <c r="H39" t="s">
        <v>75</v>
      </c>
    </row>
    <row r="40" spans="1:1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5">
      <c r="F41" t="s">
        <v>724</v>
      </c>
    </row>
    <row r="42" spans="1:13" x14ac:dyDescent="0.25">
      <c r="F42" s="1" t="s">
        <v>723</v>
      </c>
      <c r="G42" s="1" t="s">
        <v>17</v>
      </c>
      <c r="H42" s="1" t="s">
        <v>8</v>
      </c>
      <c r="I42" s="1" t="s">
        <v>6</v>
      </c>
      <c r="J42" s="1" t="s">
        <v>18</v>
      </c>
    </row>
    <row r="43" spans="1:13" x14ac:dyDescent="0.25">
      <c r="A43">
        <v>5</v>
      </c>
      <c r="B43" t="s">
        <v>96</v>
      </c>
      <c r="C43" t="s">
        <v>57</v>
      </c>
      <c r="D43" t="s">
        <v>97</v>
      </c>
      <c r="E43" t="s">
        <v>98</v>
      </c>
      <c r="F43" t="s">
        <v>99</v>
      </c>
      <c r="G43" t="s">
        <v>102</v>
      </c>
      <c r="H43" t="s">
        <v>101</v>
      </c>
      <c r="I43" t="s">
        <v>100</v>
      </c>
      <c r="J43" t="s">
        <v>103</v>
      </c>
    </row>
    <row r="44" spans="1:13" x14ac:dyDescent="0.25">
      <c r="A44">
        <v>5</v>
      </c>
      <c r="B44" t="s">
        <v>96</v>
      </c>
      <c r="C44" t="s">
        <v>57</v>
      </c>
      <c r="D44" t="s">
        <v>97</v>
      </c>
      <c r="E44" t="s">
        <v>98</v>
      </c>
      <c r="F44" t="s">
        <v>104</v>
      </c>
      <c r="G44" t="s">
        <v>102</v>
      </c>
      <c r="H44" t="s">
        <v>102</v>
      </c>
      <c r="I44" t="s">
        <v>105</v>
      </c>
      <c r="J44" t="s">
        <v>106</v>
      </c>
    </row>
    <row r="45" spans="1:13" x14ac:dyDescent="0.25">
      <c r="A45">
        <v>5</v>
      </c>
      <c r="B45" t="s">
        <v>96</v>
      </c>
      <c r="C45" t="s">
        <v>57</v>
      </c>
      <c r="D45" t="s">
        <v>97</v>
      </c>
      <c r="E45" t="s">
        <v>98</v>
      </c>
      <c r="F45" t="s">
        <v>107</v>
      </c>
      <c r="G45" t="s">
        <v>105</v>
      </c>
      <c r="H45" t="s">
        <v>105</v>
      </c>
      <c r="I45" t="s">
        <v>102</v>
      </c>
      <c r="J45" t="s">
        <v>108</v>
      </c>
    </row>
    <row r="46" spans="1:13" x14ac:dyDescent="0.25">
      <c r="A46">
        <v>5</v>
      </c>
      <c r="B46" t="s">
        <v>96</v>
      </c>
      <c r="C46" t="s">
        <v>57</v>
      </c>
      <c r="D46" t="s">
        <v>97</v>
      </c>
      <c r="E46" t="s">
        <v>98</v>
      </c>
      <c r="F46" t="s">
        <v>109</v>
      </c>
      <c r="G46" t="s">
        <v>102</v>
      </c>
      <c r="H46" t="s">
        <v>102</v>
      </c>
      <c r="I46" t="s">
        <v>105</v>
      </c>
      <c r="J46" t="s">
        <v>106</v>
      </c>
    </row>
    <row r="47" spans="1:13" x14ac:dyDescent="0.25">
      <c r="A47">
        <v>5</v>
      </c>
      <c r="B47" t="s">
        <v>96</v>
      </c>
      <c r="C47" t="s">
        <v>57</v>
      </c>
      <c r="D47" t="s">
        <v>97</v>
      </c>
      <c r="E47" t="s">
        <v>98</v>
      </c>
      <c r="F47" t="s">
        <v>110</v>
      </c>
      <c r="G47" t="s">
        <v>101</v>
      </c>
      <c r="H47" t="s">
        <v>101</v>
      </c>
      <c r="I47" t="s">
        <v>102</v>
      </c>
      <c r="J47" t="s">
        <v>108</v>
      </c>
    </row>
    <row r="48" spans="1:13" x14ac:dyDescent="0.25">
      <c r="A48">
        <v>5</v>
      </c>
      <c r="B48" t="s">
        <v>96</v>
      </c>
      <c r="C48" t="s">
        <v>57</v>
      </c>
      <c r="D48" t="s">
        <v>97</v>
      </c>
      <c r="E48" t="s">
        <v>98</v>
      </c>
      <c r="F48" t="s">
        <v>111</v>
      </c>
      <c r="G48" t="s">
        <v>105</v>
      </c>
      <c r="H48" t="s">
        <v>101</v>
      </c>
      <c r="I48" t="s">
        <v>102</v>
      </c>
      <c r="J48" t="s">
        <v>103</v>
      </c>
    </row>
    <row r="49" spans="1:1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5">
      <c r="F50" t="s">
        <v>722</v>
      </c>
    </row>
    <row r="51" spans="1:13" x14ac:dyDescent="0.25">
      <c r="F51" s="1" t="s">
        <v>721</v>
      </c>
      <c r="G51" s="1" t="s">
        <v>720</v>
      </c>
      <c r="H51" s="1" t="s">
        <v>8</v>
      </c>
      <c r="I51" s="1" t="s">
        <v>719</v>
      </c>
    </row>
    <row r="52" spans="1:13" x14ac:dyDescent="0.25">
      <c r="A52">
        <v>6</v>
      </c>
      <c r="B52" t="s">
        <v>112</v>
      </c>
      <c r="C52" t="s">
        <v>57</v>
      </c>
      <c r="D52" t="s">
        <v>113</v>
      </c>
      <c r="E52" t="s">
        <v>24</v>
      </c>
      <c r="F52" t="s">
        <v>114</v>
      </c>
      <c r="G52" t="s">
        <v>115</v>
      </c>
      <c r="H52" t="s">
        <v>116</v>
      </c>
      <c r="I52" t="s">
        <v>117</v>
      </c>
    </row>
    <row r="53" spans="1:13" x14ac:dyDescent="0.25">
      <c r="A53">
        <v>6</v>
      </c>
      <c r="B53" t="s">
        <v>112</v>
      </c>
      <c r="C53" t="s">
        <v>57</v>
      </c>
      <c r="D53" t="s">
        <v>113</v>
      </c>
      <c r="E53" t="s">
        <v>24</v>
      </c>
      <c r="F53" t="s">
        <v>118</v>
      </c>
      <c r="G53" t="s">
        <v>119</v>
      </c>
      <c r="H53" t="s">
        <v>120</v>
      </c>
      <c r="I53" t="s">
        <v>27</v>
      </c>
    </row>
    <row r="54" spans="1:13" x14ac:dyDescent="0.25">
      <c r="A54">
        <v>6</v>
      </c>
      <c r="B54" t="s">
        <v>112</v>
      </c>
      <c r="C54" t="s">
        <v>57</v>
      </c>
      <c r="D54" t="s">
        <v>113</v>
      </c>
      <c r="E54" t="s">
        <v>24</v>
      </c>
      <c r="F54" t="s">
        <v>118</v>
      </c>
      <c r="G54" t="s">
        <v>121</v>
      </c>
      <c r="H54" t="s">
        <v>122</v>
      </c>
      <c r="I54" t="s">
        <v>123</v>
      </c>
    </row>
    <row r="55" spans="1:13" x14ac:dyDescent="0.25">
      <c r="A55">
        <v>6</v>
      </c>
      <c r="B55" t="s">
        <v>112</v>
      </c>
      <c r="C55" t="s">
        <v>57</v>
      </c>
      <c r="D55" t="s">
        <v>113</v>
      </c>
      <c r="E55" t="s">
        <v>24</v>
      </c>
      <c r="F55" t="s">
        <v>124</v>
      </c>
      <c r="G55" t="s">
        <v>125</v>
      </c>
      <c r="H55" t="s">
        <v>126</v>
      </c>
      <c r="I55" t="s">
        <v>123</v>
      </c>
    </row>
    <row r="56" spans="1:13" x14ac:dyDescent="0.25">
      <c r="A56">
        <v>6</v>
      </c>
      <c r="B56" t="s">
        <v>112</v>
      </c>
      <c r="C56" t="s">
        <v>57</v>
      </c>
      <c r="D56" t="s">
        <v>113</v>
      </c>
      <c r="E56" t="s">
        <v>24</v>
      </c>
      <c r="F56" t="s">
        <v>127</v>
      </c>
      <c r="G56" t="s">
        <v>128</v>
      </c>
      <c r="H56" t="s">
        <v>129</v>
      </c>
      <c r="I56" t="s">
        <v>123</v>
      </c>
    </row>
    <row r="57" spans="1:13" x14ac:dyDescent="0.25">
      <c r="A57">
        <v>6</v>
      </c>
      <c r="B57" t="s">
        <v>112</v>
      </c>
      <c r="C57" t="s">
        <v>57</v>
      </c>
      <c r="D57" t="s">
        <v>113</v>
      </c>
      <c r="E57" t="s">
        <v>24</v>
      </c>
      <c r="F57" t="s">
        <v>130</v>
      </c>
      <c r="G57" t="s">
        <v>131</v>
      </c>
      <c r="H57" t="s">
        <v>132</v>
      </c>
      <c r="I57" t="s">
        <v>123</v>
      </c>
    </row>
    <row r="58" spans="1:13" x14ac:dyDescent="0.25">
      <c r="A58">
        <v>6</v>
      </c>
      <c r="B58" t="s">
        <v>112</v>
      </c>
      <c r="C58" t="s">
        <v>57</v>
      </c>
      <c r="D58" t="s">
        <v>113</v>
      </c>
      <c r="E58" t="s">
        <v>24</v>
      </c>
      <c r="F58" t="s">
        <v>130</v>
      </c>
      <c r="G58" t="s">
        <v>133</v>
      </c>
      <c r="H58" t="s">
        <v>134</v>
      </c>
      <c r="I58" t="s">
        <v>123</v>
      </c>
    </row>
    <row r="59" spans="1:13" x14ac:dyDescent="0.25">
      <c r="A59">
        <v>6</v>
      </c>
      <c r="B59" t="s">
        <v>112</v>
      </c>
      <c r="C59" t="s">
        <v>57</v>
      </c>
      <c r="D59" t="s">
        <v>113</v>
      </c>
      <c r="E59" t="s">
        <v>24</v>
      </c>
      <c r="F59" t="s">
        <v>130</v>
      </c>
      <c r="G59" t="s">
        <v>135</v>
      </c>
      <c r="H59" t="s">
        <v>136</v>
      </c>
      <c r="I59" t="s">
        <v>123</v>
      </c>
    </row>
    <row r="60" spans="1:13" x14ac:dyDescent="0.25">
      <c r="A60">
        <v>6</v>
      </c>
      <c r="B60" t="s">
        <v>112</v>
      </c>
      <c r="C60" t="s">
        <v>57</v>
      </c>
      <c r="D60" t="s">
        <v>113</v>
      </c>
      <c r="E60" t="s">
        <v>24</v>
      </c>
      <c r="F60" t="s">
        <v>137</v>
      </c>
      <c r="G60" t="s">
        <v>138</v>
      </c>
      <c r="H60" t="s">
        <v>139</v>
      </c>
      <c r="I60" t="s">
        <v>123</v>
      </c>
    </row>
    <row r="61" spans="1:13" x14ac:dyDescent="0.25">
      <c r="A61">
        <v>6</v>
      </c>
      <c r="B61" t="s">
        <v>112</v>
      </c>
      <c r="C61" t="s">
        <v>57</v>
      </c>
      <c r="D61" t="s">
        <v>113</v>
      </c>
      <c r="E61" t="s">
        <v>24</v>
      </c>
      <c r="F61" t="s">
        <v>137</v>
      </c>
      <c r="G61" t="s">
        <v>140</v>
      </c>
      <c r="H61" t="s">
        <v>141</v>
      </c>
      <c r="I61" t="s">
        <v>142</v>
      </c>
    </row>
    <row r="62" spans="1:13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25">
      <c r="F63" s="1" t="s">
        <v>608</v>
      </c>
      <c r="G63" s="1" t="s">
        <v>8</v>
      </c>
      <c r="H63" s="1" t="s">
        <v>13</v>
      </c>
      <c r="I63" s="1" t="s">
        <v>7</v>
      </c>
    </row>
    <row r="64" spans="1:13" x14ac:dyDescent="0.25">
      <c r="A64">
        <v>7</v>
      </c>
      <c r="B64" t="s">
        <v>143</v>
      </c>
      <c r="C64" t="s">
        <v>57</v>
      </c>
      <c r="D64" t="s">
        <v>144</v>
      </c>
      <c r="E64" t="s">
        <v>145</v>
      </c>
      <c r="F64" t="s">
        <v>146</v>
      </c>
      <c r="G64" t="s">
        <v>126</v>
      </c>
      <c r="H64" t="s">
        <v>148</v>
      </c>
      <c r="I64" t="s">
        <v>147</v>
      </c>
    </row>
    <row r="65" spans="1:13" x14ac:dyDescent="0.25">
      <c r="A65">
        <v>7</v>
      </c>
      <c r="B65" t="s">
        <v>143</v>
      </c>
      <c r="C65" t="s">
        <v>57</v>
      </c>
      <c r="D65" t="s">
        <v>144</v>
      </c>
      <c r="E65" t="s">
        <v>145</v>
      </c>
      <c r="F65" t="s">
        <v>149</v>
      </c>
      <c r="G65" t="s">
        <v>126</v>
      </c>
      <c r="H65" t="s">
        <v>151</v>
      </c>
      <c r="I65" t="s">
        <v>150</v>
      </c>
    </row>
    <row r="66" spans="1:13" x14ac:dyDescent="0.25">
      <c r="A66">
        <v>7</v>
      </c>
      <c r="B66" t="s">
        <v>143</v>
      </c>
      <c r="C66" t="s">
        <v>57</v>
      </c>
      <c r="D66" t="s">
        <v>144</v>
      </c>
      <c r="E66" t="s">
        <v>145</v>
      </c>
      <c r="F66" t="s">
        <v>152</v>
      </c>
      <c r="G66" t="s">
        <v>126</v>
      </c>
      <c r="H66" t="s">
        <v>151</v>
      </c>
      <c r="I66" t="s">
        <v>150</v>
      </c>
    </row>
    <row r="67" spans="1:13" x14ac:dyDescent="0.25">
      <c r="A67">
        <v>7</v>
      </c>
      <c r="B67" t="s">
        <v>143</v>
      </c>
      <c r="C67" t="s">
        <v>57</v>
      </c>
      <c r="D67" t="s">
        <v>144</v>
      </c>
      <c r="E67" t="s">
        <v>145</v>
      </c>
      <c r="F67" t="s">
        <v>153</v>
      </c>
      <c r="G67" t="s">
        <v>155</v>
      </c>
      <c r="H67" t="s">
        <v>30</v>
      </c>
      <c r="I67" t="s">
        <v>154</v>
      </c>
    </row>
    <row r="68" spans="1:13" x14ac:dyDescent="0.25">
      <c r="A68">
        <v>7</v>
      </c>
      <c r="B68" t="s">
        <v>143</v>
      </c>
      <c r="C68" t="s">
        <v>57</v>
      </c>
      <c r="D68" t="s">
        <v>144</v>
      </c>
      <c r="E68" t="s">
        <v>145</v>
      </c>
      <c r="F68" t="s">
        <v>156</v>
      </c>
      <c r="G68" t="s">
        <v>155</v>
      </c>
      <c r="H68" t="s">
        <v>148</v>
      </c>
      <c r="I68" t="s">
        <v>147</v>
      </c>
    </row>
    <row r="69" spans="1:13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25">
      <c r="F70" t="s">
        <v>715</v>
      </c>
    </row>
    <row r="71" spans="1:13" x14ac:dyDescent="0.25">
      <c r="F71" s="1" t="s">
        <v>718</v>
      </c>
      <c r="G71" s="1" t="s">
        <v>717</v>
      </c>
      <c r="H71" s="1" t="s">
        <v>8</v>
      </c>
      <c r="I71" s="1" t="s">
        <v>13</v>
      </c>
      <c r="J71" s="1" t="s">
        <v>7</v>
      </c>
      <c r="K71" s="1" t="s">
        <v>716</v>
      </c>
    </row>
    <row r="72" spans="1:13" x14ac:dyDescent="0.25">
      <c r="A72">
        <v>8</v>
      </c>
      <c r="B72" t="s">
        <v>157</v>
      </c>
      <c r="C72" t="s">
        <v>57</v>
      </c>
      <c r="D72" t="s">
        <v>158</v>
      </c>
      <c r="E72" t="s">
        <v>159</v>
      </c>
      <c r="F72" t="s">
        <v>160</v>
      </c>
      <c r="G72" t="s">
        <v>161</v>
      </c>
      <c r="H72" t="s">
        <v>163</v>
      </c>
      <c r="I72" t="s">
        <v>66</v>
      </c>
      <c r="J72" t="s">
        <v>162</v>
      </c>
      <c r="K72">
        <v>10</v>
      </c>
    </row>
    <row r="73" spans="1:13" x14ac:dyDescent="0.25">
      <c r="A73">
        <v>8</v>
      </c>
      <c r="B73" t="s">
        <v>157</v>
      </c>
      <c r="C73" t="s">
        <v>57</v>
      </c>
      <c r="D73" t="s">
        <v>158</v>
      </c>
      <c r="E73" t="s">
        <v>159</v>
      </c>
      <c r="F73" t="s">
        <v>160</v>
      </c>
      <c r="G73" t="s">
        <v>164</v>
      </c>
      <c r="H73" t="s">
        <v>29</v>
      </c>
      <c r="I73" t="s">
        <v>66</v>
      </c>
      <c r="J73" t="s">
        <v>165</v>
      </c>
      <c r="K73">
        <v>10</v>
      </c>
    </row>
    <row r="74" spans="1:13" x14ac:dyDescent="0.25">
      <c r="A74">
        <v>8</v>
      </c>
      <c r="B74" t="s">
        <v>157</v>
      </c>
      <c r="C74" t="s">
        <v>57</v>
      </c>
      <c r="D74" t="s">
        <v>158</v>
      </c>
      <c r="E74" t="s">
        <v>159</v>
      </c>
      <c r="F74" t="s">
        <v>160</v>
      </c>
      <c r="G74" t="s">
        <v>166</v>
      </c>
      <c r="H74" t="s">
        <v>167</v>
      </c>
      <c r="I74" t="s">
        <v>66</v>
      </c>
      <c r="J74" t="s">
        <v>165</v>
      </c>
      <c r="K74" t="s">
        <v>168</v>
      </c>
    </row>
    <row r="75" spans="1:13" x14ac:dyDescent="0.25">
      <c r="A75">
        <v>8</v>
      </c>
      <c r="B75" t="s">
        <v>157</v>
      </c>
      <c r="C75" t="s">
        <v>57</v>
      </c>
      <c r="D75" t="s">
        <v>158</v>
      </c>
      <c r="E75" t="s">
        <v>159</v>
      </c>
      <c r="F75" t="s">
        <v>160</v>
      </c>
      <c r="G75" t="s">
        <v>169</v>
      </c>
      <c r="H75" t="s">
        <v>170</v>
      </c>
      <c r="I75" t="s">
        <v>66</v>
      </c>
      <c r="J75" t="s">
        <v>165</v>
      </c>
      <c r="K75" t="s">
        <v>168</v>
      </c>
    </row>
    <row r="76" spans="1:13" x14ac:dyDescent="0.25">
      <c r="A76">
        <v>8</v>
      </c>
      <c r="B76" t="s">
        <v>157</v>
      </c>
      <c r="C76" t="s">
        <v>57</v>
      </c>
      <c r="D76" t="s">
        <v>158</v>
      </c>
      <c r="E76" t="s">
        <v>159</v>
      </c>
      <c r="F76" t="s">
        <v>160</v>
      </c>
      <c r="G76" t="s">
        <v>171</v>
      </c>
      <c r="H76" t="s">
        <v>172</v>
      </c>
      <c r="I76" t="s">
        <v>173</v>
      </c>
      <c r="J76" t="s">
        <v>162</v>
      </c>
      <c r="K76" t="s">
        <v>168</v>
      </c>
    </row>
    <row r="77" spans="1:13" x14ac:dyDescent="0.25">
      <c r="A77">
        <v>8</v>
      </c>
      <c r="B77" t="s">
        <v>157</v>
      </c>
      <c r="C77" t="s">
        <v>57</v>
      </c>
      <c r="D77" t="s">
        <v>158</v>
      </c>
      <c r="E77" t="s">
        <v>159</v>
      </c>
      <c r="F77" t="s">
        <v>160</v>
      </c>
      <c r="G77" t="s">
        <v>174</v>
      </c>
      <c r="H77" t="s">
        <v>172</v>
      </c>
      <c r="I77" t="s">
        <v>173</v>
      </c>
      <c r="J77" t="s">
        <v>165</v>
      </c>
      <c r="K77" t="s">
        <v>168</v>
      </c>
    </row>
    <row r="78" spans="1:13" x14ac:dyDescent="0.25">
      <c r="A78">
        <v>8</v>
      </c>
      <c r="B78" t="s">
        <v>157</v>
      </c>
      <c r="C78" t="s">
        <v>57</v>
      </c>
      <c r="D78" t="s">
        <v>158</v>
      </c>
      <c r="E78" t="s">
        <v>159</v>
      </c>
      <c r="F78" t="s">
        <v>160</v>
      </c>
      <c r="G78" t="s">
        <v>175</v>
      </c>
      <c r="H78" t="s">
        <v>176</v>
      </c>
      <c r="I78" t="s">
        <v>66</v>
      </c>
      <c r="J78" t="s">
        <v>165</v>
      </c>
      <c r="K78">
        <v>14</v>
      </c>
    </row>
    <row r="79" spans="1:13" x14ac:dyDescent="0.25">
      <c r="A79">
        <v>8</v>
      </c>
      <c r="B79" t="s">
        <v>157</v>
      </c>
      <c r="C79" t="s">
        <v>57</v>
      </c>
      <c r="D79" t="s">
        <v>158</v>
      </c>
      <c r="E79" t="s">
        <v>159</v>
      </c>
      <c r="F79" t="s">
        <v>160</v>
      </c>
      <c r="G79" t="s">
        <v>25</v>
      </c>
      <c r="H79" t="s">
        <v>29</v>
      </c>
      <c r="I79" t="s">
        <v>66</v>
      </c>
      <c r="J79" t="s">
        <v>165</v>
      </c>
      <c r="K79">
        <v>14</v>
      </c>
    </row>
    <row r="80" spans="1:13" x14ac:dyDescent="0.25">
      <c r="A80">
        <v>8</v>
      </c>
      <c r="B80" t="s">
        <v>157</v>
      </c>
      <c r="C80" t="s">
        <v>57</v>
      </c>
      <c r="D80" t="s">
        <v>158</v>
      </c>
      <c r="E80" t="s">
        <v>159</v>
      </c>
      <c r="F80" t="s">
        <v>160</v>
      </c>
      <c r="G80" t="s">
        <v>177</v>
      </c>
      <c r="H80" t="s">
        <v>178</v>
      </c>
      <c r="I80" t="s">
        <v>66</v>
      </c>
      <c r="J80" t="s">
        <v>165</v>
      </c>
      <c r="K80">
        <v>10</v>
      </c>
    </row>
    <row r="81" spans="1:11" x14ac:dyDescent="0.25">
      <c r="A81">
        <v>8</v>
      </c>
      <c r="B81" t="s">
        <v>157</v>
      </c>
      <c r="C81" t="s">
        <v>57</v>
      </c>
      <c r="D81" t="s">
        <v>158</v>
      </c>
      <c r="E81" t="s">
        <v>159</v>
      </c>
      <c r="F81" t="s">
        <v>160</v>
      </c>
      <c r="G81" t="s">
        <v>179</v>
      </c>
      <c r="H81" t="s">
        <v>178</v>
      </c>
      <c r="I81" t="s">
        <v>66</v>
      </c>
      <c r="J81" t="s">
        <v>162</v>
      </c>
      <c r="K81">
        <v>10</v>
      </c>
    </row>
    <row r="82" spans="1:11" x14ac:dyDescent="0.25">
      <c r="A82">
        <v>8</v>
      </c>
      <c r="B82" t="s">
        <v>157</v>
      </c>
      <c r="C82" t="s">
        <v>57</v>
      </c>
      <c r="D82" t="s">
        <v>158</v>
      </c>
      <c r="E82" t="s">
        <v>159</v>
      </c>
      <c r="F82" t="s">
        <v>160</v>
      </c>
      <c r="G82" t="s">
        <v>180</v>
      </c>
      <c r="H82" t="s">
        <v>181</v>
      </c>
      <c r="I82" t="s">
        <v>66</v>
      </c>
      <c r="J82" t="s">
        <v>165</v>
      </c>
      <c r="K82">
        <v>10</v>
      </c>
    </row>
    <row r="83" spans="1:11" x14ac:dyDescent="0.25">
      <c r="A83">
        <v>8</v>
      </c>
      <c r="B83" t="s">
        <v>157</v>
      </c>
      <c r="C83" t="s">
        <v>57</v>
      </c>
      <c r="D83" t="s">
        <v>158</v>
      </c>
      <c r="E83" t="s">
        <v>159</v>
      </c>
      <c r="F83" t="s">
        <v>182</v>
      </c>
      <c r="G83" t="s">
        <v>183</v>
      </c>
      <c r="H83" t="s">
        <v>33</v>
      </c>
      <c r="I83" t="s">
        <v>173</v>
      </c>
      <c r="J83" t="s">
        <v>184</v>
      </c>
      <c r="K83" t="s">
        <v>27</v>
      </c>
    </row>
    <row r="84" spans="1:11" x14ac:dyDescent="0.25">
      <c r="A84">
        <v>8</v>
      </c>
      <c r="B84" t="s">
        <v>157</v>
      </c>
      <c r="C84" t="s">
        <v>57</v>
      </c>
      <c r="D84" t="s">
        <v>158</v>
      </c>
      <c r="E84" t="s">
        <v>159</v>
      </c>
      <c r="F84" t="s">
        <v>182</v>
      </c>
      <c r="G84" t="s">
        <v>185</v>
      </c>
      <c r="H84" t="s">
        <v>33</v>
      </c>
      <c r="I84" t="s">
        <v>27</v>
      </c>
      <c r="J84" t="s">
        <v>186</v>
      </c>
      <c r="K84" t="s">
        <v>187</v>
      </c>
    </row>
    <row r="85" spans="1:11" x14ac:dyDescent="0.25">
      <c r="A85">
        <v>8</v>
      </c>
      <c r="B85" t="s">
        <v>157</v>
      </c>
      <c r="C85" t="s">
        <v>57</v>
      </c>
      <c r="D85" t="s">
        <v>158</v>
      </c>
      <c r="E85" t="s">
        <v>159</v>
      </c>
      <c r="F85" t="s">
        <v>182</v>
      </c>
      <c r="G85" t="s">
        <v>188</v>
      </c>
      <c r="H85" t="s">
        <v>170</v>
      </c>
      <c r="I85" t="s">
        <v>189</v>
      </c>
      <c r="J85" t="s">
        <v>184</v>
      </c>
      <c r="K85" t="s">
        <v>27</v>
      </c>
    </row>
    <row r="86" spans="1:11" x14ac:dyDescent="0.25">
      <c r="A86">
        <v>8</v>
      </c>
      <c r="B86" t="s">
        <v>157</v>
      </c>
      <c r="C86" t="s">
        <v>57</v>
      </c>
      <c r="D86" t="s">
        <v>158</v>
      </c>
      <c r="E86" t="s">
        <v>159</v>
      </c>
      <c r="F86" t="s">
        <v>182</v>
      </c>
      <c r="G86" t="s">
        <v>190</v>
      </c>
      <c r="H86" t="s">
        <v>192</v>
      </c>
      <c r="I86" t="s">
        <v>193</v>
      </c>
      <c r="J86" t="s">
        <v>191</v>
      </c>
      <c r="K86" t="s">
        <v>27</v>
      </c>
    </row>
    <row r="87" spans="1:11" x14ac:dyDescent="0.25">
      <c r="A87">
        <v>8</v>
      </c>
      <c r="B87" t="s">
        <v>157</v>
      </c>
      <c r="C87" t="s">
        <v>57</v>
      </c>
      <c r="D87" t="s">
        <v>158</v>
      </c>
      <c r="E87" t="s">
        <v>159</v>
      </c>
      <c r="F87" t="s">
        <v>194</v>
      </c>
      <c r="G87" t="s">
        <v>195</v>
      </c>
      <c r="H87" t="s">
        <v>197</v>
      </c>
      <c r="I87" t="s">
        <v>193</v>
      </c>
      <c r="J87" t="s">
        <v>196</v>
      </c>
      <c r="K87">
        <v>10</v>
      </c>
    </row>
    <row r="88" spans="1:11" x14ac:dyDescent="0.25">
      <c r="A88">
        <v>8</v>
      </c>
      <c r="B88" t="s">
        <v>157</v>
      </c>
      <c r="C88" t="s">
        <v>57</v>
      </c>
      <c r="D88" t="s">
        <v>158</v>
      </c>
      <c r="E88" t="s">
        <v>159</v>
      </c>
      <c r="F88" t="s">
        <v>194</v>
      </c>
      <c r="G88" t="s">
        <v>198</v>
      </c>
      <c r="H88" t="s">
        <v>170</v>
      </c>
      <c r="I88" t="s">
        <v>199</v>
      </c>
      <c r="J88" t="s">
        <v>196</v>
      </c>
      <c r="K88">
        <v>100</v>
      </c>
    </row>
    <row r="89" spans="1:11" x14ac:dyDescent="0.25">
      <c r="A89">
        <v>8</v>
      </c>
      <c r="B89" t="s">
        <v>157</v>
      </c>
      <c r="C89" t="s">
        <v>57</v>
      </c>
      <c r="D89" t="s">
        <v>158</v>
      </c>
      <c r="E89" t="s">
        <v>159</v>
      </c>
      <c r="F89" t="s">
        <v>200</v>
      </c>
      <c r="G89" t="s">
        <v>201</v>
      </c>
      <c r="H89" t="s">
        <v>203</v>
      </c>
      <c r="I89" t="s">
        <v>204</v>
      </c>
      <c r="J89" t="s">
        <v>202</v>
      </c>
      <c r="K89">
        <v>900</v>
      </c>
    </row>
    <row r="90" spans="1:11" x14ac:dyDescent="0.25">
      <c r="A90">
        <v>8</v>
      </c>
      <c r="B90" t="s">
        <v>157</v>
      </c>
      <c r="C90" t="s">
        <v>57</v>
      </c>
      <c r="D90" t="s">
        <v>158</v>
      </c>
      <c r="E90" t="s">
        <v>159</v>
      </c>
      <c r="F90" t="s">
        <v>200</v>
      </c>
      <c r="G90" t="s">
        <v>205</v>
      </c>
      <c r="H90" t="s">
        <v>176</v>
      </c>
      <c r="I90" t="s">
        <v>204</v>
      </c>
      <c r="J90" t="s">
        <v>206</v>
      </c>
      <c r="K90" t="s">
        <v>207</v>
      </c>
    </row>
    <row r="91" spans="1:11" x14ac:dyDescent="0.25">
      <c r="A91">
        <v>8</v>
      </c>
      <c r="B91" t="s">
        <v>157</v>
      </c>
      <c r="C91" t="s">
        <v>57</v>
      </c>
      <c r="D91" t="s">
        <v>158</v>
      </c>
      <c r="E91" t="s">
        <v>159</v>
      </c>
      <c r="F91" t="s">
        <v>200</v>
      </c>
      <c r="G91" t="s">
        <v>208</v>
      </c>
      <c r="H91" t="s">
        <v>176</v>
      </c>
      <c r="I91" t="s">
        <v>204</v>
      </c>
      <c r="J91" t="s">
        <v>209</v>
      </c>
      <c r="K91">
        <v>60</v>
      </c>
    </row>
    <row r="92" spans="1:11" x14ac:dyDescent="0.25">
      <c r="A92">
        <v>8</v>
      </c>
      <c r="B92" t="s">
        <v>157</v>
      </c>
      <c r="C92" t="s">
        <v>57</v>
      </c>
      <c r="D92" t="s">
        <v>158</v>
      </c>
      <c r="E92" t="s">
        <v>159</v>
      </c>
      <c r="F92" t="s">
        <v>200</v>
      </c>
      <c r="G92" t="s">
        <v>210</v>
      </c>
      <c r="H92" t="s">
        <v>212</v>
      </c>
      <c r="I92" t="s">
        <v>204</v>
      </c>
      <c r="J92" t="s">
        <v>211</v>
      </c>
      <c r="K92">
        <v>60</v>
      </c>
    </row>
    <row r="93" spans="1:11" x14ac:dyDescent="0.25">
      <c r="A93">
        <v>8</v>
      </c>
      <c r="B93" t="s">
        <v>157</v>
      </c>
      <c r="C93" t="s">
        <v>57</v>
      </c>
      <c r="D93" t="s">
        <v>158</v>
      </c>
      <c r="E93" t="s">
        <v>159</v>
      </c>
      <c r="F93" t="s">
        <v>200</v>
      </c>
      <c r="G93" t="s">
        <v>213</v>
      </c>
      <c r="H93" t="s">
        <v>203</v>
      </c>
      <c r="I93" t="s">
        <v>204</v>
      </c>
      <c r="J93" t="s">
        <v>209</v>
      </c>
      <c r="K93">
        <v>700</v>
      </c>
    </row>
    <row r="94" spans="1:11" x14ac:dyDescent="0.25">
      <c r="A94">
        <v>8</v>
      </c>
      <c r="B94" t="s">
        <v>157</v>
      </c>
      <c r="C94" t="s">
        <v>57</v>
      </c>
      <c r="D94" t="s">
        <v>158</v>
      </c>
      <c r="E94" t="s">
        <v>159</v>
      </c>
      <c r="F94" t="s">
        <v>214</v>
      </c>
      <c r="G94" t="s">
        <v>215</v>
      </c>
      <c r="H94" t="s">
        <v>217</v>
      </c>
      <c r="I94" t="s">
        <v>193</v>
      </c>
      <c r="J94" t="s">
        <v>216</v>
      </c>
      <c r="K94">
        <v>480</v>
      </c>
    </row>
    <row r="95" spans="1:11" x14ac:dyDescent="0.25">
      <c r="A95">
        <v>8</v>
      </c>
      <c r="B95" t="s">
        <v>157</v>
      </c>
      <c r="C95" t="s">
        <v>57</v>
      </c>
      <c r="D95" t="s">
        <v>158</v>
      </c>
      <c r="E95" t="s">
        <v>159</v>
      </c>
      <c r="F95" t="s">
        <v>214</v>
      </c>
      <c r="G95" t="s">
        <v>218</v>
      </c>
      <c r="H95" t="s">
        <v>142</v>
      </c>
      <c r="I95" t="s">
        <v>193</v>
      </c>
      <c r="J95" t="s">
        <v>196</v>
      </c>
      <c r="K95">
        <v>10</v>
      </c>
    </row>
    <row r="96" spans="1:11" x14ac:dyDescent="0.25">
      <c r="A96">
        <v>8</v>
      </c>
      <c r="B96" t="s">
        <v>157</v>
      </c>
      <c r="C96" t="s">
        <v>57</v>
      </c>
      <c r="D96" t="s">
        <v>158</v>
      </c>
      <c r="E96" t="s">
        <v>159</v>
      </c>
      <c r="F96" t="s">
        <v>214</v>
      </c>
      <c r="G96" t="s">
        <v>219</v>
      </c>
      <c r="H96" t="s">
        <v>142</v>
      </c>
      <c r="I96" t="s">
        <v>189</v>
      </c>
      <c r="J96" t="s">
        <v>196</v>
      </c>
      <c r="K96">
        <v>10</v>
      </c>
    </row>
    <row r="97" spans="1:13" x14ac:dyDescent="0.25">
      <c r="A97">
        <v>8</v>
      </c>
      <c r="B97" t="s">
        <v>157</v>
      </c>
      <c r="C97" t="s">
        <v>57</v>
      </c>
      <c r="D97" t="s">
        <v>158</v>
      </c>
      <c r="E97" t="s">
        <v>159</v>
      </c>
      <c r="F97" t="s">
        <v>214</v>
      </c>
      <c r="G97" t="s">
        <v>220</v>
      </c>
      <c r="H97" t="s">
        <v>176</v>
      </c>
      <c r="I97" t="s">
        <v>173</v>
      </c>
      <c r="J97" t="s">
        <v>196</v>
      </c>
      <c r="K97">
        <v>10</v>
      </c>
    </row>
    <row r="98" spans="1:13" x14ac:dyDescent="0.25">
      <c r="A98">
        <v>8</v>
      </c>
      <c r="B98" t="s">
        <v>157</v>
      </c>
      <c r="C98" t="s">
        <v>57</v>
      </c>
      <c r="D98" t="s">
        <v>158</v>
      </c>
      <c r="E98" t="s">
        <v>159</v>
      </c>
      <c r="F98" t="s">
        <v>214</v>
      </c>
      <c r="G98" t="s">
        <v>221</v>
      </c>
      <c r="H98" t="s">
        <v>176</v>
      </c>
      <c r="I98" t="s">
        <v>173</v>
      </c>
      <c r="J98" t="s">
        <v>196</v>
      </c>
      <c r="K98">
        <v>10</v>
      </c>
    </row>
    <row r="99" spans="1:13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x14ac:dyDescent="0.25">
      <c r="F100" s="1" t="s">
        <v>734</v>
      </c>
      <c r="G100" s="1" t="s">
        <v>713</v>
      </c>
      <c r="H100" s="1" t="s">
        <v>712</v>
      </c>
      <c r="I100" s="1" t="s">
        <v>8</v>
      </c>
      <c r="J100" s="1" t="s">
        <v>711</v>
      </c>
      <c r="K100" s="1" t="s">
        <v>714</v>
      </c>
    </row>
    <row r="101" spans="1:13" x14ac:dyDescent="0.25">
      <c r="A101">
        <v>9</v>
      </c>
      <c r="B101" t="s">
        <v>222</v>
      </c>
      <c r="C101" t="s">
        <v>223</v>
      </c>
      <c r="D101" t="s">
        <v>224</v>
      </c>
      <c r="E101" t="s">
        <v>59</v>
      </c>
      <c r="F101" t="s">
        <v>225</v>
      </c>
      <c r="G101" t="s">
        <v>226</v>
      </c>
      <c r="H101" t="s">
        <v>167</v>
      </c>
      <c r="I101" t="s">
        <v>167</v>
      </c>
      <c r="J101" t="s">
        <v>26</v>
      </c>
      <c r="K101" t="s">
        <v>227</v>
      </c>
    </row>
    <row r="102" spans="1:13" x14ac:dyDescent="0.25">
      <c r="A102">
        <v>9</v>
      </c>
      <c r="B102" t="s">
        <v>222</v>
      </c>
      <c r="C102" t="s">
        <v>223</v>
      </c>
      <c r="D102" t="s">
        <v>224</v>
      </c>
      <c r="E102" t="s">
        <v>59</v>
      </c>
      <c r="F102" t="s">
        <v>225</v>
      </c>
      <c r="G102" t="s">
        <v>229</v>
      </c>
      <c r="H102" t="s">
        <v>29</v>
      </c>
      <c r="I102" t="s">
        <v>29</v>
      </c>
      <c r="J102" t="s">
        <v>228</v>
      </c>
      <c r="K102" t="s">
        <v>230</v>
      </c>
    </row>
    <row r="103" spans="1:13" x14ac:dyDescent="0.25">
      <c r="A103">
        <v>9</v>
      </c>
      <c r="B103" t="s">
        <v>222</v>
      </c>
      <c r="C103" t="s">
        <v>223</v>
      </c>
      <c r="D103" t="s">
        <v>224</v>
      </c>
      <c r="E103" t="s">
        <v>59</v>
      </c>
      <c r="F103" t="s">
        <v>225</v>
      </c>
      <c r="G103" t="s">
        <v>229</v>
      </c>
      <c r="H103" t="s">
        <v>163</v>
      </c>
      <c r="I103" t="s">
        <v>163</v>
      </c>
      <c r="J103" t="s">
        <v>231</v>
      </c>
      <c r="K103" t="s">
        <v>232</v>
      </c>
    </row>
    <row r="104" spans="1:13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25">
      <c r="F105" s="1" t="s">
        <v>704</v>
      </c>
      <c r="G105" s="1" t="s">
        <v>576</v>
      </c>
      <c r="H105" s="1" t="s">
        <v>8</v>
      </c>
      <c r="I105" s="1" t="s">
        <v>705</v>
      </c>
      <c r="J105" s="1" t="s">
        <v>13</v>
      </c>
      <c r="K105" s="1" t="s">
        <v>14</v>
      </c>
    </row>
    <row r="106" spans="1:13" x14ac:dyDescent="0.25">
      <c r="A106">
        <v>10</v>
      </c>
      <c r="B106" t="s">
        <v>233</v>
      </c>
      <c r="C106" t="s">
        <v>223</v>
      </c>
      <c r="D106" t="s">
        <v>234</v>
      </c>
      <c r="E106" t="s">
        <v>235</v>
      </c>
      <c r="F106" t="s">
        <v>236</v>
      </c>
      <c r="G106" t="s">
        <v>237</v>
      </c>
      <c r="H106" t="s">
        <v>238</v>
      </c>
      <c r="I106" t="s">
        <v>241</v>
      </c>
      <c r="J106" t="s">
        <v>239</v>
      </c>
      <c r="K106" t="s">
        <v>240</v>
      </c>
    </row>
    <row r="107" spans="1:13" x14ac:dyDescent="0.25">
      <c r="A107">
        <v>10</v>
      </c>
      <c r="B107" t="s">
        <v>233</v>
      </c>
      <c r="C107" t="s">
        <v>223</v>
      </c>
      <c r="D107" t="s">
        <v>234</v>
      </c>
      <c r="E107" t="s">
        <v>235</v>
      </c>
      <c r="F107" t="s">
        <v>242</v>
      </c>
      <c r="G107" t="s">
        <v>243</v>
      </c>
      <c r="H107" t="s">
        <v>244</v>
      </c>
      <c r="I107" t="s">
        <v>246</v>
      </c>
      <c r="J107" t="s">
        <v>239</v>
      </c>
      <c r="K107" t="s">
        <v>245</v>
      </c>
    </row>
    <row r="108" spans="1:13" x14ac:dyDescent="0.25">
      <c r="A108">
        <v>10</v>
      </c>
      <c r="B108" t="s">
        <v>233</v>
      </c>
      <c r="C108" t="s">
        <v>223</v>
      </c>
      <c r="D108" t="s">
        <v>234</v>
      </c>
      <c r="E108" t="s">
        <v>235</v>
      </c>
      <c r="F108" t="s">
        <v>247</v>
      </c>
      <c r="G108" t="s">
        <v>248</v>
      </c>
      <c r="H108" t="s">
        <v>244</v>
      </c>
      <c r="I108" t="s">
        <v>246</v>
      </c>
      <c r="J108" s="2" t="s">
        <v>249</v>
      </c>
      <c r="K108" t="s">
        <v>245</v>
      </c>
    </row>
    <row r="109" spans="1:13" x14ac:dyDescent="0.25">
      <c r="A109">
        <v>10</v>
      </c>
      <c r="B109" t="s">
        <v>233</v>
      </c>
      <c r="C109" t="s">
        <v>223</v>
      </c>
      <c r="D109" t="s">
        <v>234</v>
      </c>
      <c r="E109" t="s">
        <v>235</v>
      </c>
      <c r="F109" t="s">
        <v>250</v>
      </c>
      <c r="G109" t="s">
        <v>248</v>
      </c>
      <c r="H109" t="s">
        <v>251</v>
      </c>
      <c r="I109" t="s">
        <v>252</v>
      </c>
      <c r="J109" s="2" t="s">
        <v>249</v>
      </c>
      <c r="K109" t="s">
        <v>245</v>
      </c>
    </row>
    <row r="110" spans="1:13" x14ac:dyDescent="0.25">
      <c r="A110">
        <v>10</v>
      </c>
      <c r="B110" t="s">
        <v>233</v>
      </c>
      <c r="C110" t="s">
        <v>223</v>
      </c>
      <c r="D110" t="s">
        <v>234</v>
      </c>
      <c r="E110" t="s">
        <v>235</v>
      </c>
      <c r="F110" t="s">
        <v>253</v>
      </c>
      <c r="G110" t="s">
        <v>248</v>
      </c>
      <c r="H110" t="s">
        <v>251</v>
      </c>
      <c r="I110" t="s">
        <v>246</v>
      </c>
      <c r="J110" s="2" t="s">
        <v>249</v>
      </c>
      <c r="K110" t="s">
        <v>245</v>
      </c>
    </row>
    <row r="111" spans="1:13" x14ac:dyDescent="0.25">
      <c r="A111">
        <v>10</v>
      </c>
      <c r="B111" t="s">
        <v>233</v>
      </c>
      <c r="C111" t="s">
        <v>223</v>
      </c>
      <c r="D111" t="s">
        <v>234</v>
      </c>
      <c r="E111" t="s">
        <v>235</v>
      </c>
      <c r="F111" t="s">
        <v>254</v>
      </c>
      <c r="G111" t="s">
        <v>243</v>
      </c>
      <c r="H111" t="s">
        <v>255</v>
      </c>
      <c r="I111">
        <v>50</v>
      </c>
      <c r="J111" s="2">
        <v>0.98</v>
      </c>
      <c r="K111" t="s">
        <v>240</v>
      </c>
    </row>
    <row r="112" spans="1:13" x14ac:dyDescent="0.25">
      <c r="F112" t="s">
        <v>703</v>
      </c>
    </row>
    <row r="113" spans="1:13" x14ac:dyDescent="0.25">
      <c r="F113" s="1" t="s">
        <v>5</v>
      </c>
      <c r="G113" s="1" t="s">
        <v>14</v>
      </c>
      <c r="H113" s="1" t="s">
        <v>702</v>
      </c>
    </row>
    <row r="114" spans="1:13" x14ac:dyDescent="0.25">
      <c r="A114">
        <v>10</v>
      </c>
      <c r="B114" t="s">
        <v>233</v>
      </c>
      <c r="C114" t="s">
        <v>223</v>
      </c>
      <c r="D114" t="s">
        <v>234</v>
      </c>
      <c r="E114" t="s">
        <v>59</v>
      </c>
      <c r="F114" t="s">
        <v>256</v>
      </c>
      <c r="G114" t="s">
        <v>258</v>
      </c>
      <c r="H114" t="s">
        <v>257</v>
      </c>
    </row>
    <row r="115" spans="1:13" x14ac:dyDescent="0.25">
      <c r="A115">
        <v>10</v>
      </c>
      <c r="B115" t="s">
        <v>233</v>
      </c>
      <c r="C115" t="s">
        <v>223</v>
      </c>
      <c r="D115" t="s">
        <v>234</v>
      </c>
      <c r="E115" t="s">
        <v>59</v>
      </c>
      <c r="F115" t="s">
        <v>259</v>
      </c>
      <c r="G115" t="s">
        <v>261</v>
      </c>
      <c r="H115" t="s">
        <v>260</v>
      </c>
    </row>
    <row r="116" spans="1:13" x14ac:dyDescent="0.25">
      <c r="A116">
        <v>10</v>
      </c>
      <c r="B116" t="s">
        <v>233</v>
      </c>
      <c r="C116" t="s">
        <v>223</v>
      </c>
      <c r="D116" t="s">
        <v>234</v>
      </c>
      <c r="E116" t="s">
        <v>59</v>
      </c>
      <c r="F116" t="s">
        <v>262</v>
      </c>
      <c r="G116" t="s">
        <v>264</v>
      </c>
      <c r="H116" t="s">
        <v>263</v>
      </c>
    </row>
    <row r="117" spans="1:13" x14ac:dyDescent="0.25">
      <c r="A117">
        <v>10</v>
      </c>
      <c r="B117" t="s">
        <v>233</v>
      </c>
      <c r="C117" t="s">
        <v>223</v>
      </c>
      <c r="D117" t="s">
        <v>234</v>
      </c>
      <c r="E117" t="s">
        <v>59</v>
      </c>
      <c r="F117" t="s">
        <v>265</v>
      </c>
      <c r="G117" t="s">
        <v>267</v>
      </c>
      <c r="H117" t="s">
        <v>266</v>
      </c>
    </row>
    <row r="118" spans="1:13" x14ac:dyDescent="0.25">
      <c r="A118">
        <v>10</v>
      </c>
      <c r="B118" t="s">
        <v>233</v>
      </c>
      <c r="C118" t="s">
        <v>223</v>
      </c>
      <c r="D118" t="s">
        <v>234</v>
      </c>
      <c r="E118" t="s">
        <v>59</v>
      </c>
      <c r="F118" t="s">
        <v>130</v>
      </c>
      <c r="G118" t="s">
        <v>269</v>
      </c>
      <c r="H118" t="s">
        <v>268</v>
      </c>
    </row>
    <row r="119" spans="1:13" x14ac:dyDescent="0.25">
      <c r="A119">
        <v>10</v>
      </c>
      <c r="B119" t="s">
        <v>233</v>
      </c>
      <c r="C119" t="s">
        <v>223</v>
      </c>
      <c r="D119" t="s">
        <v>234</v>
      </c>
      <c r="E119" t="s">
        <v>59</v>
      </c>
      <c r="F119" t="s">
        <v>270</v>
      </c>
      <c r="G119" t="s">
        <v>272</v>
      </c>
      <c r="H119" t="s">
        <v>271</v>
      </c>
    </row>
    <row r="120" spans="1:13" x14ac:dyDescent="0.25">
      <c r="A120">
        <v>10</v>
      </c>
      <c r="B120" t="s">
        <v>233</v>
      </c>
      <c r="C120" t="s">
        <v>223</v>
      </c>
      <c r="D120" t="s">
        <v>234</v>
      </c>
      <c r="E120" t="s">
        <v>59</v>
      </c>
      <c r="F120" t="s">
        <v>273</v>
      </c>
      <c r="G120" t="s">
        <v>275</v>
      </c>
      <c r="H120" t="s">
        <v>274</v>
      </c>
    </row>
    <row r="121" spans="1:13" x14ac:dyDescent="0.25">
      <c r="A121">
        <v>10</v>
      </c>
      <c r="B121" t="s">
        <v>233</v>
      </c>
      <c r="C121" t="s">
        <v>223</v>
      </c>
      <c r="D121" t="s">
        <v>234</v>
      </c>
      <c r="E121" t="s">
        <v>59</v>
      </c>
      <c r="F121" t="s">
        <v>276</v>
      </c>
      <c r="G121" t="s">
        <v>277</v>
      </c>
      <c r="H121" t="s">
        <v>268</v>
      </c>
    </row>
    <row r="122" spans="1:13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x14ac:dyDescent="0.25">
      <c r="F123" t="s">
        <v>707</v>
      </c>
    </row>
    <row r="124" spans="1:13" x14ac:dyDescent="0.25">
      <c r="F124" s="1" t="s">
        <v>706</v>
      </c>
      <c r="G124" s="1" t="s">
        <v>19</v>
      </c>
      <c r="H124" s="1" t="s">
        <v>20</v>
      </c>
      <c r="I124" s="1" t="s">
        <v>576</v>
      </c>
      <c r="J124" s="1" t="s">
        <v>8</v>
      </c>
      <c r="K124" s="1" t="s">
        <v>13</v>
      </c>
      <c r="L124" s="1" t="s">
        <v>11</v>
      </c>
    </row>
    <row r="125" spans="1:13" x14ac:dyDescent="0.25">
      <c r="A125">
        <v>11</v>
      </c>
      <c r="B125" t="s">
        <v>278</v>
      </c>
      <c r="C125" t="s">
        <v>279</v>
      </c>
      <c r="D125" t="s">
        <v>280</v>
      </c>
      <c r="E125" t="s">
        <v>59</v>
      </c>
      <c r="F125" t="s">
        <v>281</v>
      </c>
      <c r="G125" t="s">
        <v>284</v>
      </c>
      <c r="H125">
        <v>1</v>
      </c>
      <c r="I125" t="s">
        <v>282</v>
      </c>
      <c r="J125" t="s">
        <v>31</v>
      </c>
      <c r="K125" t="s">
        <v>30</v>
      </c>
      <c r="L125" t="s">
        <v>283</v>
      </c>
    </row>
    <row r="126" spans="1:13" x14ac:dyDescent="0.25">
      <c r="A126">
        <v>11</v>
      </c>
      <c r="B126" t="s">
        <v>278</v>
      </c>
      <c r="C126" t="s">
        <v>279</v>
      </c>
      <c r="D126" t="s">
        <v>280</v>
      </c>
      <c r="E126" t="s">
        <v>59</v>
      </c>
      <c r="F126" t="s">
        <v>285</v>
      </c>
      <c r="G126" t="s">
        <v>289</v>
      </c>
      <c r="H126">
        <v>2</v>
      </c>
      <c r="I126" t="s">
        <v>286</v>
      </c>
      <c r="J126" t="s">
        <v>287</v>
      </c>
      <c r="K126" t="s">
        <v>30</v>
      </c>
      <c r="L126" t="s">
        <v>288</v>
      </c>
    </row>
    <row r="127" spans="1:13" x14ac:dyDescent="0.25">
      <c r="A127">
        <v>11</v>
      </c>
      <c r="B127" t="s">
        <v>278</v>
      </c>
      <c r="C127" t="s">
        <v>279</v>
      </c>
      <c r="D127" t="s">
        <v>280</v>
      </c>
      <c r="E127" t="s">
        <v>59</v>
      </c>
      <c r="F127" t="s">
        <v>290</v>
      </c>
      <c r="G127" t="s">
        <v>292</v>
      </c>
      <c r="H127">
        <v>2</v>
      </c>
      <c r="I127" t="s">
        <v>291</v>
      </c>
      <c r="J127" t="s">
        <v>287</v>
      </c>
      <c r="K127" t="s">
        <v>30</v>
      </c>
      <c r="L127" t="s">
        <v>288</v>
      </c>
    </row>
    <row r="128" spans="1:13" x14ac:dyDescent="0.25">
      <c r="A128">
        <v>11</v>
      </c>
      <c r="B128" t="s">
        <v>278</v>
      </c>
      <c r="C128" t="s">
        <v>279</v>
      </c>
      <c r="D128" t="s">
        <v>280</v>
      </c>
      <c r="E128" t="s">
        <v>59</v>
      </c>
      <c r="F128" t="s">
        <v>293</v>
      </c>
      <c r="G128" t="s">
        <v>292</v>
      </c>
      <c r="H128">
        <v>3</v>
      </c>
      <c r="I128" t="s">
        <v>294</v>
      </c>
      <c r="J128" t="s">
        <v>295</v>
      </c>
      <c r="K128" t="s">
        <v>30</v>
      </c>
      <c r="L128" t="s">
        <v>288</v>
      </c>
    </row>
    <row r="129" spans="1:13" x14ac:dyDescent="0.25">
      <c r="A129">
        <v>11</v>
      </c>
      <c r="B129" t="s">
        <v>278</v>
      </c>
      <c r="C129" t="s">
        <v>279</v>
      </c>
      <c r="D129" t="s">
        <v>280</v>
      </c>
      <c r="E129" t="s">
        <v>59</v>
      </c>
      <c r="F129" t="s">
        <v>296</v>
      </c>
      <c r="G129" t="s">
        <v>292</v>
      </c>
      <c r="H129">
        <v>4</v>
      </c>
      <c r="I129" t="s">
        <v>297</v>
      </c>
      <c r="J129" t="s">
        <v>295</v>
      </c>
      <c r="K129" s="2">
        <v>0.99</v>
      </c>
      <c r="L129" t="s">
        <v>27</v>
      </c>
    </row>
    <row r="130" spans="1:13" x14ac:dyDescent="0.25">
      <c r="A130">
        <v>11</v>
      </c>
      <c r="B130" t="s">
        <v>278</v>
      </c>
      <c r="C130" t="s">
        <v>279</v>
      </c>
      <c r="D130" t="s">
        <v>280</v>
      </c>
      <c r="E130" t="s">
        <v>59</v>
      </c>
      <c r="F130" t="s">
        <v>298</v>
      </c>
      <c r="G130" t="s">
        <v>300</v>
      </c>
      <c r="H130">
        <v>1</v>
      </c>
      <c r="I130" t="s">
        <v>299</v>
      </c>
      <c r="J130" t="s">
        <v>287</v>
      </c>
      <c r="K130" t="s">
        <v>30</v>
      </c>
      <c r="L130" t="s">
        <v>283</v>
      </c>
    </row>
    <row r="131" spans="1:13" x14ac:dyDescent="0.25">
      <c r="A131">
        <v>11</v>
      </c>
      <c r="B131" t="s">
        <v>278</v>
      </c>
      <c r="C131" t="s">
        <v>279</v>
      </c>
      <c r="D131" t="s">
        <v>280</v>
      </c>
      <c r="E131" t="s">
        <v>59</v>
      </c>
      <c r="F131" t="s">
        <v>301</v>
      </c>
      <c r="G131" t="s">
        <v>303</v>
      </c>
      <c r="H131">
        <v>2</v>
      </c>
      <c r="I131" t="s">
        <v>302</v>
      </c>
      <c r="J131" t="s">
        <v>287</v>
      </c>
      <c r="K131" t="s">
        <v>30</v>
      </c>
      <c r="L131" t="s">
        <v>288</v>
      </c>
    </row>
    <row r="132" spans="1:13" x14ac:dyDescent="0.25">
      <c r="A132">
        <v>11</v>
      </c>
      <c r="B132" t="s">
        <v>278</v>
      </c>
      <c r="C132" t="s">
        <v>279</v>
      </c>
      <c r="D132" t="s">
        <v>280</v>
      </c>
      <c r="E132" t="s">
        <v>59</v>
      </c>
      <c r="F132" t="s">
        <v>304</v>
      </c>
      <c r="G132" t="s">
        <v>307</v>
      </c>
      <c r="H132">
        <v>3</v>
      </c>
      <c r="I132" t="s">
        <v>305</v>
      </c>
      <c r="J132" t="s">
        <v>306</v>
      </c>
      <c r="K132" s="2">
        <v>0.99</v>
      </c>
      <c r="L132" t="s">
        <v>27</v>
      </c>
    </row>
    <row r="133" spans="1:13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x14ac:dyDescent="0.25">
      <c r="F134" t="s">
        <v>316</v>
      </c>
    </row>
    <row r="135" spans="1:13" x14ac:dyDescent="0.25">
      <c r="F135" s="1" t="s">
        <v>308</v>
      </c>
      <c r="G135" s="1" t="s">
        <v>309</v>
      </c>
      <c r="H135" s="1" t="s">
        <v>310</v>
      </c>
      <c r="I135" s="1" t="s">
        <v>311</v>
      </c>
    </row>
    <row r="136" spans="1:13" x14ac:dyDescent="0.25">
      <c r="A136">
        <v>12</v>
      </c>
      <c r="B136" t="s">
        <v>312</v>
      </c>
      <c r="C136" t="s">
        <v>313</v>
      </c>
      <c r="D136" t="s">
        <v>314</v>
      </c>
      <c r="E136" t="s">
        <v>315</v>
      </c>
      <c r="F136" t="s">
        <v>317</v>
      </c>
      <c r="G136" t="s">
        <v>318</v>
      </c>
      <c r="H136" t="s">
        <v>319</v>
      </c>
      <c r="I136" t="s">
        <v>320</v>
      </c>
    </row>
    <row r="137" spans="1:13" x14ac:dyDescent="0.25">
      <c r="A137">
        <v>12</v>
      </c>
      <c r="B137" t="s">
        <v>312</v>
      </c>
      <c r="C137" t="s">
        <v>313</v>
      </c>
      <c r="D137" t="s">
        <v>314</v>
      </c>
      <c r="E137" t="s">
        <v>315</v>
      </c>
      <c r="F137" t="s">
        <v>321</v>
      </c>
      <c r="G137" t="s">
        <v>322</v>
      </c>
      <c r="H137" t="s">
        <v>323</v>
      </c>
      <c r="I137" t="s">
        <v>320</v>
      </c>
    </row>
    <row r="138" spans="1:13" x14ac:dyDescent="0.25">
      <c r="A138">
        <v>12</v>
      </c>
      <c r="B138" t="s">
        <v>312</v>
      </c>
      <c r="C138" t="s">
        <v>313</v>
      </c>
      <c r="D138" t="s">
        <v>314</v>
      </c>
      <c r="E138" t="s">
        <v>315</v>
      </c>
      <c r="F138" t="s">
        <v>324</v>
      </c>
      <c r="G138" t="s">
        <v>325</v>
      </c>
      <c r="H138" t="s">
        <v>326</v>
      </c>
      <c r="I138" t="s">
        <v>327</v>
      </c>
    </row>
    <row r="139" spans="1:13" x14ac:dyDescent="0.25">
      <c r="A139">
        <v>12</v>
      </c>
      <c r="B139" t="s">
        <v>312</v>
      </c>
      <c r="C139" t="s">
        <v>313</v>
      </c>
      <c r="D139" t="s">
        <v>314</v>
      </c>
      <c r="E139" t="s">
        <v>315</v>
      </c>
      <c r="F139" t="s">
        <v>328</v>
      </c>
      <c r="G139" t="s">
        <v>325</v>
      </c>
      <c r="H139" t="s">
        <v>329</v>
      </c>
      <c r="I139" t="s">
        <v>330</v>
      </c>
    </row>
    <row r="140" spans="1:13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x14ac:dyDescent="0.25">
      <c r="F141" t="s">
        <v>708</v>
      </c>
    </row>
    <row r="142" spans="1:13" x14ac:dyDescent="0.25">
      <c r="F142" s="1" t="s">
        <v>331</v>
      </c>
      <c r="G142" s="1" t="s">
        <v>332</v>
      </c>
      <c r="H142" s="1" t="s">
        <v>333</v>
      </c>
      <c r="I142" s="1" t="s">
        <v>334</v>
      </c>
    </row>
    <row r="143" spans="1:13" x14ac:dyDescent="0.25">
      <c r="A143">
        <v>13</v>
      </c>
      <c r="B143" t="s">
        <v>335</v>
      </c>
      <c r="C143" t="s">
        <v>313</v>
      </c>
      <c r="D143" t="s">
        <v>336</v>
      </c>
      <c r="E143" t="s">
        <v>59</v>
      </c>
      <c r="F143">
        <v>1</v>
      </c>
      <c r="G143" t="s">
        <v>338</v>
      </c>
      <c r="H143" t="s">
        <v>241</v>
      </c>
      <c r="I143" t="s">
        <v>339</v>
      </c>
    </row>
    <row r="144" spans="1:13" x14ac:dyDescent="0.25">
      <c r="A144">
        <v>13</v>
      </c>
      <c r="B144" t="s">
        <v>335</v>
      </c>
      <c r="C144" t="s">
        <v>313</v>
      </c>
      <c r="D144" t="s">
        <v>336</v>
      </c>
      <c r="E144" t="s">
        <v>59</v>
      </c>
      <c r="F144">
        <v>2</v>
      </c>
      <c r="G144" t="s">
        <v>338</v>
      </c>
      <c r="H144" t="s">
        <v>340</v>
      </c>
      <c r="I144" t="s">
        <v>341</v>
      </c>
    </row>
    <row r="145" spans="1:10" x14ac:dyDescent="0.25">
      <c r="A145">
        <v>13</v>
      </c>
      <c r="B145" t="s">
        <v>335</v>
      </c>
      <c r="C145" t="s">
        <v>313</v>
      </c>
      <c r="D145" t="s">
        <v>336</v>
      </c>
      <c r="E145" t="s">
        <v>59</v>
      </c>
      <c r="F145">
        <v>3</v>
      </c>
      <c r="G145" t="s">
        <v>342</v>
      </c>
      <c r="H145" t="s">
        <v>343</v>
      </c>
      <c r="I145" t="s">
        <v>344</v>
      </c>
    </row>
    <row r="146" spans="1:10" x14ac:dyDescent="0.25">
      <c r="A146">
        <v>13</v>
      </c>
      <c r="B146" t="s">
        <v>335</v>
      </c>
      <c r="C146" t="s">
        <v>313</v>
      </c>
      <c r="D146" t="s">
        <v>336</v>
      </c>
      <c r="E146" t="s">
        <v>59</v>
      </c>
      <c r="F146">
        <v>4</v>
      </c>
      <c r="G146" t="s">
        <v>345</v>
      </c>
      <c r="H146">
        <v>2</v>
      </c>
      <c r="I146" t="s">
        <v>346</v>
      </c>
    </row>
    <row r="147" spans="1:10" x14ac:dyDescent="0.25">
      <c r="A147">
        <v>13</v>
      </c>
      <c r="B147" t="s">
        <v>335</v>
      </c>
      <c r="C147" t="s">
        <v>313</v>
      </c>
      <c r="D147" t="s">
        <v>336</v>
      </c>
      <c r="E147" t="s">
        <v>59</v>
      </c>
      <c r="F147">
        <v>5</v>
      </c>
      <c r="G147" t="s">
        <v>347</v>
      </c>
      <c r="H147">
        <v>1</v>
      </c>
      <c r="I147" t="s">
        <v>348</v>
      </c>
    </row>
    <row r="148" spans="1:10" x14ac:dyDescent="0.25">
      <c r="A148">
        <v>13</v>
      </c>
      <c r="B148" t="s">
        <v>335</v>
      </c>
      <c r="C148" t="s">
        <v>313</v>
      </c>
      <c r="D148" t="s">
        <v>336</v>
      </c>
      <c r="E148" t="s">
        <v>59</v>
      </c>
      <c r="F148">
        <v>6</v>
      </c>
      <c r="G148" t="s">
        <v>345</v>
      </c>
      <c r="H148">
        <v>2</v>
      </c>
      <c r="I148" t="s">
        <v>349</v>
      </c>
    </row>
    <row r="149" spans="1:10" x14ac:dyDescent="0.25">
      <c r="A149">
        <v>13</v>
      </c>
      <c r="B149" t="s">
        <v>335</v>
      </c>
      <c r="C149" t="s">
        <v>313</v>
      </c>
      <c r="D149" t="s">
        <v>336</v>
      </c>
      <c r="E149" t="s">
        <v>59</v>
      </c>
      <c r="F149">
        <v>7</v>
      </c>
      <c r="G149" t="s">
        <v>347</v>
      </c>
      <c r="H149">
        <v>2</v>
      </c>
      <c r="I149" t="s">
        <v>350</v>
      </c>
    </row>
    <row r="150" spans="1:10" x14ac:dyDescent="0.25">
      <c r="A150">
        <v>13</v>
      </c>
      <c r="B150" t="s">
        <v>335</v>
      </c>
      <c r="C150" t="s">
        <v>313</v>
      </c>
      <c r="D150" t="s">
        <v>336</v>
      </c>
      <c r="E150" t="s">
        <v>59</v>
      </c>
      <c r="F150">
        <v>8</v>
      </c>
      <c r="G150" t="s">
        <v>347</v>
      </c>
      <c r="H150" t="s">
        <v>351</v>
      </c>
      <c r="I150" t="s">
        <v>352</v>
      </c>
    </row>
    <row r="152" spans="1:10" x14ac:dyDescent="0.25">
      <c r="F152" t="s">
        <v>708</v>
      </c>
    </row>
    <row r="153" spans="1:10" x14ac:dyDescent="0.25">
      <c r="F153" s="1" t="s">
        <v>353</v>
      </c>
      <c r="G153" s="1" t="s">
        <v>354</v>
      </c>
      <c r="H153" s="1" t="s">
        <v>333</v>
      </c>
      <c r="I153" s="1" t="s">
        <v>332</v>
      </c>
      <c r="J153" s="1"/>
    </row>
    <row r="154" spans="1:10" x14ac:dyDescent="0.25">
      <c r="A154">
        <v>13</v>
      </c>
      <c r="B154" t="s">
        <v>335</v>
      </c>
      <c r="C154" t="s">
        <v>313</v>
      </c>
      <c r="D154" t="s">
        <v>336</v>
      </c>
      <c r="E154" t="s">
        <v>59</v>
      </c>
      <c r="F154" t="s">
        <v>355</v>
      </c>
      <c r="G154" t="s">
        <v>356</v>
      </c>
      <c r="H154" t="s">
        <v>357</v>
      </c>
      <c r="I154" t="s">
        <v>709</v>
      </c>
    </row>
    <row r="155" spans="1:10" x14ac:dyDescent="0.25">
      <c r="A155">
        <v>13</v>
      </c>
      <c r="B155" t="s">
        <v>335</v>
      </c>
      <c r="C155" t="s">
        <v>313</v>
      </c>
      <c r="D155" t="s">
        <v>336</v>
      </c>
      <c r="E155" t="s">
        <v>59</v>
      </c>
      <c r="F155" t="s">
        <v>138</v>
      </c>
      <c r="G155" t="s">
        <v>358</v>
      </c>
      <c r="H155" t="s">
        <v>357</v>
      </c>
      <c r="I155" t="s">
        <v>359</v>
      </c>
    </row>
    <row r="156" spans="1:10" x14ac:dyDescent="0.25">
      <c r="A156">
        <v>13</v>
      </c>
      <c r="B156" t="s">
        <v>335</v>
      </c>
      <c r="C156" t="s">
        <v>313</v>
      </c>
      <c r="D156" t="s">
        <v>336</v>
      </c>
      <c r="E156" t="s">
        <v>59</v>
      </c>
      <c r="F156" t="s">
        <v>360</v>
      </c>
      <c r="G156" t="s">
        <v>361</v>
      </c>
      <c r="H156" t="s">
        <v>357</v>
      </c>
      <c r="I156" t="s">
        <v>362</v>
      </c>
    </row>
    <row r="157" spans="1:10" x14ac:dyDescent="0.25">
      <c r="A157">
        <v>13</v>
      </c>
      <c r="B157" t="s">
        <v>335</v>
      </c>
      <c r="C157" t="s">
        <v>313</v>
      </c>
      <c r="D157" t="s">
        <v>336</v>
      </c>
      <c r="E157" t="s">
        <v>59</v>
      </c>
      <c r="F157" t="s">
        <v>363</v>
      </c>
      <c r="G157" t="s">
        <v>356</v>
      </c>
      <c r="H157" t="s">
        <v>364</v>
      </c>
      <c r="I157" t="s">
        <v>709</v>
      </c>
    </row>
    <row r="158" spans="1:10" x14ac:dyDescent="0.25">
      <c r="A158">
        <v>13</v>
      </c>
      <c r="B158" t="s">
        <v>335</v>
      </c>
      <c r="C158" t="s">
        <v>313</v>
      </c>
      <c r="D158" t="s">
        <v>336</v>
      </c>
      <c r="E158" t="s">
        <v>59</v>
      </c>
      <c r="F158" t="s">
        <v>363</v>
      </c>
      <c r="G158" t="s">
        <v>358</v>
      </c>
      <c r="H158">
        <v>2</v>
      </c>
      <c r="I158" t="s">
        <v>359</v>
      </c>
    </row>
    <row r="159" spans="1:10" x14ac:dyDescent="0.25">
      <c r="A159">
        <v>13</v>
      </c>
      <c r="B159" t="s">
        <v>335</v>
      </c>
      <c r="C159" t="s">
        <v>313</v>
      </c>
      <c r="D159" t="s">
        <v>336</v>
      </c>
      <c r="E159" t="s">
        <v>59</v>
      </c>
      <c r="F159" t="s">
        <v>363</v>
      </c>
      <c r="G159" t="s">
        <v>365</v>
      </c>
      <c r="H159">
        <v>2</v>
      </c>
      <c r="I159" t="s">
        <v>362</v>
      </c>
    </row>
    <row r="160" spans="1:10" x14ac:dyDescent="0.25">
      <c r="A160">
        <v>13</v>
      </c>
      <c r="B160" t="s">
        <v>335</v>
      </c>
      <c r="C160" t="s">
        <v>313</v>
      </c>
      <c r="D160" t="s">
        <v>336</v>
      </c>
      <c r="E160" t="s">
        <v>59</v>
      </c>
      <c r="F160" t="s">
        <v>182</v>
      </c>
      <c r="G160" t="s">
        <v>356</v>
      </c>
      <c r="H160" t="s">
        <v>366</v>
      </c>
      <c r="I160" t="s">
        <v>709</v>
      </c>
    </row>
    <row r="161" spans="1:10" x14ac:dyDescent="0.25">
      <c r="A161">
        <v>13</v>
      </c>
      <c r="B161" t="s">
        <v>335</v>
      </c>
      <c r="C161" t="s">
        <v>313</v>
      </c>
      <c r="D161" t="s">
        <v>336</v>
      </c>
      <c r="E161" t="s">
        <v>59</v>
      </c>
      <c r="F161" t="s">
        <v>182</v>
      </c>
      <c r="G161" t="s">
        <v>367</v>
      </c>
      <c r="H161" t="s">
        <v>366</v>
      </c>
      <c r="I161" t="s">
        <v>709</v>
      </c>
    </row>
    <row r="162" spans="1:10" x14ac:dyDescent="0.25">
      <c r="A162">
        <v>13</v>
      </c>
      <c r="B162" t="s">
        <v>335</v>
      </c>
      <c r="C162" t="s">
        <v>313</v>
      </c>
      <c r="D162" t="s">
        <v>336</v>
      </c>
      <c r="E162" t="s">
        <v>59</v>
      </c>
      <c r="F162" t="s">
        <v>182</v>
      </c>
      <c r="G162" t="s">
        <v>358</v>
      </c>
      <c r="H162" t="s">
        <v>368</v>
      </c>
      <c r="I162" t="s">
        <v>359</v>
      </c>
    </row>
    <row r="163" spans="1:10" x14ac:dyDescent="0.25">
      <c r="A163">
        <v>13</v>
      </c>
      <c r="B163" t="s">
        <v>335</v>
      </c>
      <c r="C163" t="s">
        <v>313</v>
      </c>
      <c r="D163" t="s">
        <v>336</v>
      </c>
      <c r="E163" t="s">
        <v>59</v>
      </c>
      <c r="F163" t="s">
        <v>182</v>
      </c>
      <c r="G163" t="s">
        <v>365</v>
      </c>
      <c r="H163">
        <v>2</v>
      </c>
      <c r="I163" t="s">
        <v>362</v>
      </c>
    </row>
    <row r="164" spans="1:10" x14ac:dyDescent="0.25">
      <c r="A164">
        <v>13</v>
      </c>
      <c r="B164" t="s">
        <v>335</v>
      </c>
      <c r="C164" t="s">
        <v>313</v>
      </c>
      <c r="D164" t="s">
        <v>336</v>
      </c>
      <c r="E164" t="s">
        <v>59</v>
      </c>
      <c r="F164" t="s">
        <v>369</v>
      </c>
      <c r="G164" t="s">
        <v>356</v>
      </c>
      <c r="H164" t="s">
        <v>370</v>
      </c>
      <c r="I164" t="s">
        <v>709</v>
      </c>
    </row>
    <row r="165" spans="1:10" x14ac:dyDescent="0.25">
      <c r="A165">
        <v>13</v>
      </c>
      <c r="B165" t="s">
        <v>335</v>
      </c>
      <c r="C165" t="s">
        <v>313</v>
      </c>
      <c r="D165" t="s">
        <v>336</v>
      </c>
      <c r="E165" t="s">
        <v>59</v>
      </c>
      <c r="F165" t="s">
        <v>369</v>
      </c>
      <c r="G165" t="s">
        <v>367</v>
      </c>
      <c r="H165">
        <v>5</v>
      </c>
      <c r="I165" t="s">
        <v>359</v>
      </c>
    </row>
    <row r="166" spans="1:10" x14ac:dyDescent="0.25">
      <c r="A166">
        <v>13</v>
      </c>
      <c r="B166" t="s">
        <v>335</v>
      </c>
      <c r="C166" t="s">
        <v>313</v>
      </c>
      <c r="D166" t="s">
        <v>336</v>
      </c>
      <c r="E166" t="s">
        <v>59</v>
      </c>
      <c r="F166" t="s">
        <v>369</v>
      </c>
      <c r="G166" t="s">
        <v>358</v>
      </c>
      <c r="H166" t="s">
        <v>368</v>
      </c>
      <c r="I166" t="s">
        <v>359</v>
      </c>
    </row>
    <row r="167" spans="1:10" x14ac:dyDescent="0.25">
      <c r="A167">
        <v>13</v>
      </c>
      <c r="B167" t="s">
        <v>335</v>
      </c>
      <c r="C167" t="s">
        <v>313</v>
      </c>
      <c r="D167" t="s">
        <v>336</v>
      </c>
      <c r="E167" t="s">
        <v>59</v>
      </c>
      <c r="F167" t="s">
        <v>369</v>
      </c>
      <c r="G167" t="s">
        <v>365</v>
      </c>
      <c r="H167" t="s">
        <v>371</v>
      </c>
      <c r="I167" t="s">
        <v>362</v>
      </c>
    </row>
    <row r="168" spans="1:10" x14ac:dyDescent="0.25">
      <c r="A168">
        <v>13</v>
      </c>
      <c r="B168" t="s">
        <v>335</v>
      </c>
      <c r="C168" t="s">
        <v>313</v>
      </c>
      <c r="D168" t="s">
        <v>336</v>
      </c>
      <c r="E168" t="s">
        <v>59</v>
      </c>
      <c r="F168" t="s">
        <v>369</v>
      </c>
      <c r="G168" t="s">
        <v>372</v>
      </c>
      <c r="H168">
        <v>5</v>
      </c>
      <c r="I168" t="s">
        <v>362</v>
      </c>
    </row>
    <row r="169" spans="1:10" x14ac:dyDescent="0.25">
      <c r="A169">
        <v>13</v>
      </c>
      <c r="B169" t="s">
        <v>335</v>
      </c>
      <c r="C169" t="s">
        <v>313</v>
      </c>
      <c r="D169" t="s">
        <v>336</v>
      </c>
      <c r="E169" t="s">
        <v>59</v>
      </c>
      <c r="F169" t="s">
        <v>373</v>
      </c>
      <c r="G169" t="s">
        <v>356</v>
      </c>
      <c r="H169" t="s">
        <v>374</v>
      </c>
      <c r="I169" t="s">
        <v>709</v>
      </c>
    </row>
    <row r="170" spans="1:10" x14ac:dyDescent="0.25">
      <c r="A170">
        <v>13</v>
      </c>
      <c r="B170" t="s">
        <v>335</v>
      </c>
      <c r="C170" t="s">
        <v>313</v>
      </c>
      <c r="D170" t="s">
        <v>336</v>
      </c>
      <c r="E170" t="s">
        <v>59</v>
      </c>
      <c r="F170" t="s">
        <v>373</v>
      </c>
      <c r="G170" t="s">
        <v>358</v>
      </c>
      <c r="H170" t="s">
        <v>375</v>
      </c>
      <c r="I170" t="s">
        <v>359</v>
      </c>
    </row>
    <row r="171" spans="1:10" x14ac:dyDescent="0.25">
      <c r="A171">
        <v>13</v>
      </c>
      <c r="B171" t="s">
        <v>335</v>
      </c>
      <c r="C171" t="s">
        <v>313</v>
      </c>
      <c r="D171" t="s">
        <v>336</v>
      </c>
      <c r="E171" t="s">
        <v>59</v>
      </c>
      <c r="F171" t="s">
        <v>373</v>
      </c>
      <c r="G171" t="s">
        <v>365</v>
      </c>
      <c r="H171" t="s">
        <v>371</v>
      </c>
      <c r="I171" t="s">
        <v>362</v>
      </c>
    </row>
    <row r="173" spans="1:10" x14ac:dyDescent="0.25">
      <c r="F173" s="1" t="s">
        <v>376</v>
      </c>
      <c r="G173" s="1" t="s">
        <v>332</v>
      </c>
      <c r="H173" s="1" t="s">
        <v>377</v>
      </c>
      <c r="I173" s="1" t="s">
        <v>378</v>
      </c>
      <c r="J173" s="1" t="s">
        <v>379</v>
      </c>
    </row>
    <row r="174" spans="1:10" x14ac:dyDescent="0.25">
      <c r="A174">
        <v>13</v>
      </c>
      <c r="B174" t="s">
        <v>335</v>
      </c>
      <c r="C174" t="s">
        <v>313</v>
      </c>
      <c r="D174" t="s">
        <v>336</v>
      </c>
      <c r="E174" t="s">
        <v>337</v>
      </c>
      <c r="F174" t="s">
        <v>380</v>
      </c>
      <c r="G174">
        <v>99</v>
      </c>
      <c r="H174" t="s">
        <v>381</v>
      </c>
      <c r="I174" t="s">
        <v>382</v>
      </c>
      <c r="J174" t="s">
        <v>383</v>
      </c>
    </row>
    <row r="175" spans="1:10" x14ac:dyDescent="0.25">
      <c r="A175">
        <v>13</v>
      </c>
      <c r="B175" t="s">
        <v>335</v>
      </c>
      <c r="C175" t="s">
        <v>313</v>
      </c>
      <c r="D175" t="s">
        <v>336</v>
      </c>
      <c r="E175" t="s">
        <v>337</v>
      </c>
      <c r="F175" t="s">
        <v>384</v>
      </c>
      <c r="G175" t="s">
        <v>347</v>
      </c>
      <c r="H175" t="s">
        <v>29</v>
      </c>
      <c r="I175" t="s">
        <v>385</v>
      </c>
      <c r="J175" t="s">
        <v>383</v>
      </c>
    </row>
    <row r="176" spans="1:10" x14ac:dyDescent="0.25">
      <c r="A176">
        <v>13</v>
      </c>
      <c r="B176" t="s">
        <v>335</v>
      </c>
      <c r="C176" t="s">
        <v>313</v>
      </c>
      <c r="D176" t="s">
        <v>336</v>
      </c>
      <c r="E176" t="s">
        <v>337</v>
      </c>
      <c r="F176" t="s">
        <v>386</v>
      </c>
      <c r="G176" t="s">
        <v>387</v>
      </c>
      <c r="H176" t="s">
        <v>163</v>
      </c>
      <c r="I176" t="s">
        <v>388</v>
      </c>
      <c r="J176" t="s">
        <v>389</v>
      </c>
    </row>
    <row r="177" spans="1:16" x14ac:dyDescent="0.25">
      <c r="A177">
        <v>13</v>
      </c>
      <c r="B177" t="s">
        <v>335</v>
      </c>
      <c r="C177" t="s">
        <v>313</v>
      </c>
      <c r="D177" t="s">
        <v>336</v>
      </c>
      <c r="E177" t="s">
        <v>337</v>
      </c>
      <c r="F177" t="s">
        <v>390</v>
      </c>
      <c r="G177" t="s">
        <v>347</v>
      </c>
      <c r="H177" t="s">
        <v>170</v>
      </c>
      <c r="I177" t="s">
        <v>391</v>
      </c>
      <c r="J177" t="s">
        <v>392</v>
      </c>
    </row>
    <row r="178" spans="1:16" x14ac:dyDescent="0.25">
      <c r="A178">
        <v>13</v>
      </c>
      <c r="B178" t="s">
        <v>335</v>
      </c>
      <c r="C178" t="s">
        <v>313</v>
      </c>
      <c r="D178" t="s">
        <v>336</v>
      </c>
      <c r="E178" t="s">
        <v>337</v>
      </c>
      <c r="F178" t="s">
        <v>393</v>
      </c>
      <c r="G178" t="s">
        <v>347</v>
      </c>
      <c r="H178" t="s">
        <v>33</v>
      </c>
      <c r="I178" t="s">
        <v>394</v>
      </c>
      <c r="J178" t="s">
        <v>392</v>
      </c>
    </row>
    <row r="179" spans="1:1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6" x14ac:dyDescent="0.25">
      <c r="F180" s="1" t="s">
        <v>4</v>
      </c>
      <c r="G180" s="1" t="s">
        <v>717</v>
      </c>
      <c r="H180" s="1" t="s">
        <v>404</v>
      </c>
      <c r="I180" s="1" t="s">
        <v>406</v>
      </c>
      <c r="J180" s="1" t="s">
        <v>408</v>
      </c>
      <c r="K180" s="1" t="s">
        <v>412</v>
      </c>
      <c r="L180" s="1" t="s">
        <v>417</v>
      </c>
      <c r="M180" s="1" t="s">
        <v>422</v>
      </c>
      <c r="N180" s="1" t="s">
        <v>425</v>
      </c>
      <c r="O180" s="1" t="s">
        <v>428</v>
      </c>
      <c r="P180" s="1" t="s">
        <v>429</v>
      </c>
    </row>
    <row r="181" spans="1:16" x14ac:dyDescent="0.25">
      <c r="A181">
        <v>14</v>
      </c>
      <c r="B181" t="s">
        <v>400</v>
      </c>
      <c r="C181" t="s">
        <v>313</v>
      </c>
      <c r="D181" t="s">
        <v>401</v>
      </c>
      <c r="E181" t="s">
        <v>402</v>
      </c>
      <c r="F181" t="s">
        <v>403</v>
      </c>
      <c r="G181" t="s">
        <v>32</v>
      </c>
      <c r="H181" t="s">
        <v>29</v>
      </c>
      <c r="I181" t="s">
        <v>407</v>
      </c>
      <c r="J181" t="s">
        <v>409</v>
      </c>
      <c r="K181" t="s">
        <v>413</v>
      </c>
      <c r="L181" t="s">
        <v>418</v>
      </c>
      <c r="M181" t="s">
        <v>423</v>
      </c>
      <c r="N181" t="s">
        <v>426</v>
      </c>
      <c r="O181" t="s">
        <v>427</v>
      </c>
      <c r="P181" t="s">
        <v>407</v>
      </c>
    </row>
    <row r="182" spans="1:16" x14ac:dyDescent="0.25">
      <c r="A182">
        <v>14</v>
      </c>
      <c r="B182" t="s">
        <v>400</v>
      </c>
      <c r="C182" t="s">
        <v>313</v>
      </c>
      <c r="D182" t="s">
        <v>401</v>
      </c>
      <c r="E182" t="s">
        <v>402</v>
      </c>
      <c r="F182" t="s">
        <v>403</v>
      </c>
      <c r="G182" t="s">
        <v>397</v>
      </c>
      <c r="H182" t="s">
        <v>33</v>
      </c>
      <c r="I182" t="s">
        <v>345</v>
      </c>
      <c r="J182" t="s">
        <v>409</v>
      </c>
      <c r="K182" t="s">
        <v>414</v>
      </c>
      <c r="L182" t="s">
        <v>419</v>
      </c>
      <c r="M182" t="s">
        <v>423</v>
      </c>
      <c r="N182" t="s">
        <v>426</v>
      </c>
      <c r="O182" t="s">
        <v>424</v>
      </c>
      <c r="P182" t="s">
        <v>345</v>
      </c>
    </row>
    <row r="183" spans="1:16" x14ac:dyDescent="0.25">
      <c r="A183">
        <v>14</v>
      </c>
      <c r="B183" t="s">
        <v>400</v>
      </c>
      <c r="C183" t="s">
        <v>313</v>
      </c>
      <c r="D183" t="s">
        <v>401</v>
      </c>
      <c r="E183" t="s">
        <v>402</v>
      </c>
      <c r="F183" t="s">
        <v>403</v>
      </c>
      <c r="G183" t="s">
        <v>398</v>
      </c>
      <c r="H183" t="s">
        <v>33</v>
      </c>
      <c r="I183" t="s">
        <v>362</v>
      </c>
      <c r="J183" t="s">
        <v>410</v>
      </c>
      <c r="K183" t="s">
        <v>415</v>
      </c>
      <c r="L183" t="s">
        <v>420</v>
      </c>
      <c r="M183" t="s">
        <v>424</v>
      </c>
      <c r="N183" t="s">
        <v>427</v>
      </c>
      <c r="O183" t="s">
        <v>424</v>
      </c>
      <c r="P183" t="s">
        <v>362</v>
      </c>
    </row>
    <row r="184" spans="1:16" x14ac:dyDescent="0.25">
      <c r="A184">
        <v>14</v>
      </c>
      <c r="B184" t="s">
        <v>400</v>
      </c>
      <c r="C184" t="s">
        <v>313</v>
      </c>
      <c r="D184" t="s">
        <v>401</v>
      </c>
      <c r="E184" t="s">
        <v>402</v>
      </c>
      <c r="F184" t="s">
        <v>403</v>
      </c>
      <c r="G184" t="s">
        <v>399</v>
      </c>
      <c r="H184" t="s">
        <v>35</v>
      </c>
      <c r="I184" t="s">
        <v>347</v>
      </c>
      <c r="J184" t="s">
        <v>411</v>
      </c>
      <c r="K184" t="s">
        <v>416</v>
      </c>
      <c r="L184" t="s">
        <v>421</v>
      </c>
      <c r="M184" t="s">
        <v>424</v>
      </c>
      <c r="N184" t="s">
        <v>427</v>
      </c>
      <c r="O184" t="s">
        <v>426</v>
      </c>
      <c r="P184" t="s">
        <v>347</v>
      </c>
    </row>
    <row r="185" spans="1:16" x14ac:dyDescent="0.25">
      <c r="A185">
        <v>14</v>
      </c>
      <c r="B185" t="s">
        <v>400</v>
      </c>
      <c r="C185" t="s">
        <v>313</v>
      </c>
      <c r="D185" t="s">
        <v>401</v>
      </c>
      <c r="E185" t="s">
        <v>402</v>
      </c>
      <c r="F185" t="s">
        <v>403</v>
      </c>
      <c r="G185" t="s">
        <v>138</v>
      </c>
      <c r="H185" t="s">
        <v>405</v>
      </c>
      <c r="I185" t="s">
        <v>347</v>
      </c>
      <c r="J185" t="s">
        <v>411</v>
      </c>
      <c r="K185" t="s">
        <v>414</v>
      </c>
      <c r="L185" t="s">
        <v>421</v>
      </c>
      <c r="M185" t="s">
        <v>424</v>
      </c>
      <c r="N185" t="s">
        <v>427</v>
      </c>
      <c r="O185" t="s">
        <v>426</v>
      </c>
      <c r="P185" t="s">
        <v>347</v>
      </c>
    </row>
    <row r="187" spans="1:16" x14ac:dyDescent="0.25">
      <c r="F187" s="1" t="s">
        <v>4</v>
      </c>
      <c r="G187" s="1" t="s">
        <v>717</v>
      </c>
      <c r="H187" s="1" t="s">
        <v>404</v>
      </c>
      <c r="I187" s="1" t="s">
        <v>406</v>
      </c>
      <c r="J187" s="1" t="s">
        <v>408</v>
      </c>
      <c r="K187" s="1" t="s">
        <v>412</v>
      </c>
      <c r="L187" s="1" t="s">
        <v>417</v>
      </c>
      <c r="M187" s="1" t="s">
        <v>422</v>
      </c>
      <c r="N187" s="1" t="s">
        <v>425</v>
      </c>
      <c r="O187" s="1" t="s">
        <v>428</v>
      </c>
      <c r="P187" s="1" t="s">
        <v>429</v>
      </c>
    </row>
    <row r="188" spans="1:16" x14ac:dyDescent="0.25">
      <c r="A188">
        <v>14</v>
      </c>
      <c r="B188" t="s">
        <v>400</v>
      </c>
      <c r="C188" t="s">
        <v>313</v>
      </c>
      <c r="D188" t="s">
        <v>401</v>
      </c>
      <c r="E188" t="s">
        <v>402</v>
      </c>
      <c r="F188" t="s">
        <v>433</v>
      </c>
      <c r="G188" t="s">
        <v>430</v>
      </c>
      <c r="H188" t="s">
        <v>33</v>
      </c>
      <c r="I188" t="s">
        <v>434</v>
      </c>
      <c r="J188" t="s">
        <v>411</v>
      </c>
      <c r="K188" t="s">
        <v>437</v>
      </c>
      <c r="L188" t="s">
        <v>439</v>
      </c>
      <c r="M188" t="s">
        <v>426</v>
      </c>
      <c r="N188" t="s">
        <v>423</v>
      </c>
      <c r="O188" t="s">
        <v>423</v>
      </c>
      <c r="P188" t="s">
        <v>434</v>
      </c>
    </row>
    <row r="189" spans="1:16" x14ac:dyDescent="0.25">
      <c r="A189">
        <v>14</v>
      </c>
      <c r="B189" t="s">
        <v>400</v>
      </c>
      <c r="C189" t="s">
        <v>313</v>
      </c>
      <c r="D189" t="s">
        <v>401</v>
      </c>
      <c r="E189" t="s">
        <v>402</v>
      </c>
      <c r="F189" t="s">
        <v>433</v>
      </c>
      <c r="G189" t="s">
        <v>431</v>
      </c>
      <c r="H189" t="s">
        <v>35</v>
      </c>
      <c r="I189" t="s">
        <v>347</v>
      </c>
      <c r="J189" t="s">
        <v>436</v>
      </c>
      <c r="K189" t="s">
        <v>438</v>
      </c>
      <c r="L189" t="s">
        <v>418</v>
      </c>
      <c r="M189" t="s">
        <v>427</v>
      </c>
      <c r="N189" t="s">
        <v>426</v>
      </c>
      <c r="O189" t="s">
        <v>424</v>
      </c>
      <c r="P189" t="s">
        <v>345</v>
      </c>
    </row>
    <row r="190" spans="1:16" x14ac:dyDescent="0.25">
      <c r="A190">
        <v>14</v>
      </c>
      <c r="B190" t="s">
        <v>400</v>
      </c>
      <c r="C190" t="s">
        <v>313</v>
      </c>
      <c r="D190" t="s">
        <v>401</v>
      </c>
      <c r="E190" t="s">
        <v>402</v>
      </c>
      <c r="F190" t="s">
        <v>433</v>
      </c>
      <c r="G190" t="s">
        <v>432</v>
      </c>
      <c r="H190" t="s">
        <v>35</v>
      </c>
      <c r="I190" t="s">
        <v>435</v>
      </c>
      <c r="J190" t="s">
        <v>436</v>
      </c>
      <c r="K190" t="s">
        <v>416</v>
      </c>
      <c r="L190" t="s">
        <v>440</v>
      </c>
      <c r="M190" t="s">
        <v>424</v>
      </c>
      <c r="N190" t="s">
        <v>424</v>
      </c>
      <c r="O190" t="s">
        <v>427</v>
      </c>
      <c r="P190" t="s">
        <v>387</v>
      </c>
    </row>
    <row r="191" spans="1:16" x14ac:dyDescent="0.25">
      <c r="H191" s="1"/>
      <c r="I191" s="1"/>
      <c r="J191" s="1"/>
    </row>
    <row r="192" spans="1:16" x14ac:dyDescent="0.25">
      <c r="F192" s="1" t="s">
        <v>4</v>
      </c>
      <c r="G192" s="1" t="s">
        <v>717</v>
      </c>
      <c r="H192" s="1" t="s">
        <v>404</v>
      </c>
      <c r="I192" s="1" t="s">
        <v>406</v>
      </c>
      <c r="J192" s="1" t="s">
        <v>408</v>
      </c>
      <c r="K192" s="1" t="s">
        <v>412</v>
      </c>
      <c r="L192" s="1" t="s">
        <v>417</v>
      </c>
      <c r="M192" s="1" t="s">
        <v>422</v>
      </c>
      <c r="N192" s="1" t="s">
        <v>425</v>
      </c>
      <c r="O192" s="1" t="s">
        <v>428</v>
      </c>
      <c r="P192" s="1" t="s">
        <v>429</v>
      </c>
    </row>
    <row r="193" spans="1:16" x14ac:dyDescent="0.25">
      <c r="A193">
        <v>14</v>
      </c>
      <c r="B193" t="s">
        <v>400</v>
      </c>
      <c r="C193" t="s">
        <v>313</v>
      </c>
      <c r="D193" t="s">
        <v>401</v>
      </c>
      <c r="E193" t="s">
        <v>402</v>
      </c>
      <c r="F193" t="s">
        <v>443</v>
      </c>
      <c r="G193" t="s">
        <v>51</v>
      </c>
      <c r="H193" t="s">
        <v>33</v>
      </c>
      <c r="I193" t="s">
        <v>387</v>
      </c>
      <c r="J193" t="s">
        <v>444</v>
      </c>
      <c r="K193" t="s">
        <v>447</v>
      </c>
      <c r="L193" t="s">
        <v>418</v>
      </c>
      <c r="M193" t="s">
        <v>426</v>
      </c>
      <c r="N193" t="s">
        <v>426</v>
      </c>
      <c r="O193" t="s">
        <v>426</v>
      </c>
      <c r="P193" t="s">
        <v>435</v>
      </c>
    </row>
    <row r="194" spans="1:16" x14ac:dyDescent="0.25">
      <c r="A194">
        <v>14</v>
      </c>
      <c r="B194" t="s">
        <v>400</v>
      </c>
      <c r="C194" t="s">
        <v>313</v>
      </c>
      <c r="D194" t="s">
        <v>401</v>
      </c>
      <c r="E194" t="s">
        <v>402</v>
      </c>
      <c r="F194" t="s">
        <v>443</v>
      </c>
      <c r="G194" t="s">
        <v>441</v>
      </c>
      <c r="H194" t="s">
        <v>33</v>
      </c>
      <c r="I194" t="s">
        <v>345</v>
      </c>
      <c r="J194" t="s">
        <v>445</v>
      </c>
      <c r="K194" t="s">
        <v>448</v>
      </c>
      <c r="L194" t="s">
        <v>418</v>
      </c>
      <c r="M194" t="s">
        <v>426</v>
      </c>
      <c r="N194" t="s">
        <v>426</v>
      </c>
      <c r="O194" t="s">
        <v>426</v>
      </c>
      <c r="P194" t="s">
        <v>347</v>
      </c>
    </row>
    <row r="195" spans="1:16" x14ac:dyDescent="0.25">
      <c r="A195">
        <v>14</v>
      </c>
      <c r="B195" t="s">
        <v>400</v>
      </c>
      <c r="C195" t="s">
        <v>313</v>
      </c>
      <c r="D195" t="s">
        <v>401</v>
      </c>
      <c r="E195" t="s">
        <v>402</v>
      </c>
      <c r="F195" t="s">
        <v>443</v>
      </c>
      <c r="G195" t="s">
        <v>442</v>
      </c>
      <c r="H195" t="s">
        <v>29</v>
      </c>
      <c r="I195" t="s">
        <v>407</v>
      </c>
      <c r="J195" t="s">
        <v>446</v>
      </c>
      <c r="K195" t="s">
        <v>448</v>
      </c>
      <c r="L195" t="s">
        <v>418</v>
      </c>
      <c r="M195" t="s">
        <v>426</v>
      </c>
      <c r="N195" t="s">
        <v>426</v>
      </c>
      <c r="O195" t="s">
        <v>426</v>
      </c>
      <c r="P195">
        <v>95</v>
      </c>
    </row>
    <row r="197" spans="1:16" x14ac:dyDescent="0.25">
      <c r="F197" s="1" t="s">
        <v>4</v>
      </c>
      <c r="G197" s="1" t="s">
        <v>717</v>
      </c>
      <c r="H197" s="1" t="s">
        <v>404</v>
      </c>
      <c r="I197" s="1" t="s">
        <v>406</v>
      </c>
      <c r="J197" s="1" t="s">
        <v>408</v>
      </c>
      <c r="K197" s="1" t="s">
        <v>412</v>
      </c>
      <c r="L197" s="1" t="s">
        <v>417</v>
      </c>
      <c r="M197" s="1" t="s">
        <v>422</v>
      </c>
      <c r="N197" s="1" t="s">
        <v>425</v>
      </c>
      <c r="O197" s="1" t="s">
        <v>428</v>
      </c>
      <c r="P197" s="1" t="s">
        <v>429</v>
      </c>
    </row>
    <row r="198" spans="1:16" x14ac:dyDescent="0.25">
      <c r="A198">
        <v>14</v>
      </c>
      <c r="B198" t="s">
        <v>400</v>
      </c>
      <c r="C198" t="s">
        <v>313</v>
      </c>
      <c r="D198" t="s">
        <v>401</v>
      </c>
      <c r="E198" t="s">
        <v>402</v>
      </c>
      <c r="F198" t="s">
        <v>452</v>
      </c>
      <c r="G198" t="s">
        <v>449</v>
      </c>
      <c r="H198" t="s">
        <v>33</v>
      </c>
      <c r="I198" t="s">
        <v>453</v>
      </c>
      <c r="J198" t="s">
        <v>455</v>
      </c>
      <c r="K198" t="s">
        <v>458</v>
      </c>
      <c r="L198" t="s">
        <v>460</v>
      </c>
      <c r="M198" t="s">
        <v>423</v>
      </c>
      <c r="N198" t="s">
        <v>423</v>
      </c>
      <c r="O198" t="s">
        <v>427</v>
      </c>
      <c r="P198">
        <v>95</v>
      </c>
    </row>
    <row r="199" spans="1:16" x14ac:dyDescent="0.25">
      <c r="A199">
        <v>14</v>
      </c>
      <c r="B199" t="s">
        <v>400</v>
      </c>
      <c r="C199" t="s">
        <v>313</v>
      </c>
      <c r="D199" t="s">
        <v>401</v>
      </c>
      <c r="E199" t="s">
        <v>402</v>
      </c>
      <c r="F199" t="s">
        <v>452</v>
      </c>
      <c r="G199" t="s">
        <v>450</v>
      </c>
      <c r="H199" t="s">
        <v>35</v>
      </c>
      <c r="I199" t="s">
        <v>453</v>
      </c>
      <c r="J199" t="s">
        <v>456</v>
      </c>
      <c r="K199" t="s">
        <v>458</v>
      </c>
      <c r="L199" t="s">
        <v>461</v>
      </c>
      <c r="M199" t="s">
        <v>423</v>
      </c>
      <c r="N199" t="s">
        <v>423</v>
      </c>
      <c r="O199" t="s">
        <v>427</v>
      </c>
      <c r="P199">
        <v>95</v>
      </c>
    </row>
    <row r="200" spans="1:16" x14ac:dyDescent="0.25">
      <c r="A200">
        <v>14</v>
      </c>
      <c r="B200" t="s">
        <v>400</v>
      </c>
      <c r="C200" t="s">
        <v>313</v>
      </c>
      <c r="D200" t="s">
        <v>401</v>
      </c>
      <c r="E200" t="s">
        <v>402</v>
      </c>
      <c r="F200" t="s">
        <v>452</v>
      </c>
      <c r="G200" t="s">
        <v>451</v>
      </c>
      <c r="H200" t="s">
        <v>172</v>
      </c>
      <c r="I200" t="s">
        <v>454</v>
      </c>
      <c r="J200" t="s">
        <v>457</v>
      </c>
      <c r="K200" t="s">
        <v>459</v>
      </c>
      <c r="L200" t="s">
        <v>462</v>
      </c>
      <c r="M200" t="s">
        <v>423</v>
      </c>
      <c r="N200" t="s">
        <v>423</v>
      </c>
      <c r="O200" t="s">
        <v>427</v>
      </c>
      <c r="P200" t="s">
        <v>454</v>
      </c>
    </row>
    <row r="202" spans="1:16" x14ac:dyDescent="0.25">
      <c r="F202" s="1" t="s">
        <v>4</v>
      </c>
      <c r="G202" s="1" t="s">
        <v>717</v>
      </c>
      <c r="H202" s="1" t="s">
        <v>404</v>
      </c>
      <c r="I202" s="1" t="s">
        <v>406</v>
      </c>
      <c r="J202" s="1" t="s">
        <v>408</v>
      </c>
      <c r="K202" s="1" t="s">
        <v>412</v>
      </c>
      <c r="L202" s="1" t="s">
        <v>417</v>
      </c>
      <c r="M202" s="1" t="s">
        <v>422</v>
      </c>
      <c r="N202" s="1" t="s">
        <v>425</v>
      </c>
      <c r="O202" s="1" t="s">
        <v>428</v>
      </c>
      <c r="P202" s="1" t="s">
        <v>429</v>
      </c>
    </row>
    <row r="203" spans="1:16" x14ac:dyDescent="0.25">
      <c r="A203">
        <v>14</v>
      </c>
      <c r="B203" t="s">
        <v>400</v>
      </c>
      <c r="C203" t="s">
        <v>313</v>
      </c>
      <c r="D203" t="s">
        <v>401</v>
      </c>
      <c r="E203" t="s">
        <v>402</v>
      </c>
      <c r="F203" t="s">
        <v>466</v>
      </c>
      <c r="G203" t="s">
        <v>463</v>
      </c>
      <c r="H203" t="s">
        <v>29</v>
      </c>
      <c r="I203" t="s">
        <v>387</v>
      </c>
      <c r="J203" t="s">
        <v>467</v>
      </c>
      <c r="K203" t="s">
        <v>459</v>
      </c>
      <c r="L203" t="s">
        <v>468</v>
      </c>
      <c r="M203" t="s">
        <v>426</v>
      </c>
      <c r="N203" t="s">
        <v>427</v>
      </c>
      <c r="O203" t="s">
        <v>426</v>
      </c>
      <c r="P203" t="s">
        <v>387</v>
      </c>
    </row>
    <row r="204" spans="1:16" x14ac:dyDescent="0.25">
      <c r="A204">
        <v>14</v>
      </c>
      <c r="B204" t="s">
        <v>400</v>
      </c>
      <c r="C204" t="s">
        <v>313</v>
      </c>
      <c r="D204" t="s">
        <v>401</v>
      </c>
      <c r="E204" t="s">
        <v>402</v>
      </c>
      <c r="F204" t="s">
        <v>466</v>
      </c>
      <c r="G204" t="s">
        <v>464</v>
      </c>
      <c r="H204" t="s">
        <v>29</v>
      </c>
      <c r="I204" t="s">
        <v>387</v>
      </c>
      <c r="J204" t="s">
        <v>467</v>
      </c>
      <c r="K204" t="s">
        <v>459</v>
      </c>
      <c r="L204" t="s">
        <v>468</v>
      </c>
      <c r="M204" t="s">
        <v>426</v>
      </c>
      <c r="N204" t="s">
        <v>427</v>
      </c>
      <c r="O204" t="s">
        <v>426</v>
      </c>
      <c r="P204" t="s">
        <v>387</v>
      </c>
    </row>
    <row r="205" spans="1:16" x14ac:dyDescent="0.25">
      <c r="A205">
        <v>14</v>
      </c>
      <c r="B205" t="s">
        <v>400</v>
      </c>
      <c r="C205" t="s">
        <v>313</v>
      </c>
      <c r="D205" t="s">
        <v>401</v>
      </c>
      <c r="E205" t="s">
        <v>402</v>
      </c>
      <c r="F205" t="s">
        <v>466</v>
      </c>
      <c r="G205" t="s">
        <v>465</v>
      </c>
      <c r="H205" t="s">
        <v>29</v>
      </c>
      <c r="I205" t="s">
        <v>387</v>
      </c>
      <c r="J205" t="s">
        <v>467</v>
      </c>
      <c r="K205" t="s">
        <v>459</v>
      </c>
      <c r="L205" t="s">
        <v>468</v>
      </c>
      <c r="M205" t="s">
        <v>426</v>
      </c>
      <c r="N205" t="s">
        <v>424</v>
      </c>
      <c r="O205" t="s">
        <v>427</v>
      </c>
      <c r="P205" t="s">
        <v>387</v>
      </c>
    </row>
    <row r="207" spans="1:16" x14ac:dyDescent="0.25">
      <c r="F207" s="1" t="s">
        <v>4</v>
      </c>
      <c r="G207" s="1" t="s">
        <v>717</v>
      </c>
      <c r="H207" s="1" t="s">
        <v>404</v>
      </c>
      <c r="I207" s="1" t="s">
        <v>406</v>
      </c>
      <c r="J207" s="1" t="s">
        <v>408</v>
      </c>
      <c r="K207" s="1" t="s">
        <v>412</v>
      </c>
      <c r="L207" s="1" t="s">
        <v>417</v>
      </c>
      <c r="M207" s="1" t="s">
        <v>422</v>
      </c>
      <c r="N207" s="1" t="s">
        <v>425</v>
      </c>
      <c r="O207" s="1" t="s">
        <v>428</v>
      </c>
      <c r="P207" s="1" t="s">
        <v>429</v>
      </c>
    </row>
    <row r="208" spans="1:16" x14ac:dyDescent="0.25">
      <c r="A208">
        <v>14</v>
      </c>
      <c r="B208" t="s">
        <v>400</v>
      </c>
      <c r="C208" t="s">
        <v>313</v>
      </c>
      <c r="D208" t="s">
        <v>401</v>
      </c>
      <c r="E208" t="s">
        <v>402</v>
      </c>
      <c r="F208" t="s">
        <v>472</v>
      </c>
      <c r="G208" t="s">
        <v>469</v>
      </c>
      <c r="H208" t="s">
        <v>473</v>
      </c>
      <c r="I208" t="s">
        <v>347</v>
      </c>
      <c r="J208" t="s">
        <v>445</v>
      </c>
      <c r="K208" t="s">
        <v>476</v>
      </c>
      <c r="L208" t="s">
        <v>440</v>
      </c>
      <c r="M208" t="s">
        <v>427</v>
      </c>
      <c r="N208" t="s">
        <v>424</v>
      </c>
      <c r="O208" t="s">
        <v>424</v>
      </c>
      <c r="P208" t="s">
        <v>387</v>
      </c>
    </row>
    <row r="209" spans="1:16" x14ac:dyDescent="0.25">
      <c r="A209">
        <v>14</v>
      </c>
      <c r="B209" t="s">
        <v>400</v>
      </c>
      <c r="C209" t="s">
        <v>313</v>
      </c>
      <c r="D209" t="s">
        <v>401</v>
      </c>
      <c r="E209" t="s">
        <v>402</v>
      </c>
      <c r="F209" t="s">
        <v>472</v>
      </c>
      <c r="G209" t="s">
        <v>470</v>
      </c>
      <c r="H209" t="s">
        <v>474</v>
      </c>
      <c r="I209" t="s">
        <v>347</v>
      </c>
      <c r="J209" t="s">
        <v>456</v>
      </c>
      <c r="K209" t="s">
        <v>416</v>
      </c>
      <c r="L209" t="s">
        <v>418</v>
      </c>
      <c r="M209" t="s">
        <v>427</v>
      </c>
      <c r="N209" t="s">
        <v>427</v>
      </c>
      <c r="O209" t="s">
        <v>427</v>
      </c>
      <c r="P209" t="s">
        <v>387</v>
      </c>
    </row>
    <row r="210" spans="1:16" x14ac:dyDescent="0.25">
      <c r="A210">
        <v>14</v>
      </c>
      <c r="B210" t="s">
        <v>400</v>
      </c>
      <c r="C210" t="s">
        <v>313</v>
      </c>
      <c r="D210" t="s">
        <v>401</v>
      </c>
      <c r="E210" t="s">
        <v>402</v>
      </c>
      <c r="F210" t="s">
        <v>472</v>
      </c>
      <c r="G210" t="s">
        <v>471</v>
      </c>
      <c r="H210" t="s">
        <v>475</v>
      </c>
      <c r="I210" t="s">
        <v>347</v>
      </c>
      <c r="J210" t="s">
        <v>411</v>
      </c>
      <c r="K210" t="s">
        <v>448</v>
      </c>
      <c r="L210" t="s">
        <v>420</v>
      </c>
      <c r="M210" t="s">
        <v>426</v>
      </c>
      <c r="N210" t="s">
        <v>427</v>
      </c>
      <c r="O210" t="s">
        <v>424</v>
      </c>
      <c r="P210" t="s">
        <v>387</v>
      </c>
    </row>
    <row r="212" spans="1:16" x14ac:dyDescent="0.25">
      <c r="F212" s="1" t="s">
        <v>4</v>
      </c>
      <c r="G212" s="1" t="s">
        <v>717</v>
      </c>
      <c r="H212" s="1" t="s">
        <v>404</v>
      </c>
      <c r="I212" s="1" t="s">
        <v>406</v>
      </c>
      <c r="J212" s="1" t="s">
        <v>408</v>
      </c>
      <c r="K212" s="1" t="s">
        <v>412</v>
      </c>
      <c r="L212" s="1" t="s">
        <v>417</v>
      </c>
      <c r="M212" s="1" t="s">
        <v>422</v>
      </c>
      <c r="N212" s="1" t="s">
        <v>425</v>
      </c>
      <c r="O212" s="1" t="s">
        <v>428</v>
      </c>
      <c r="P212" s="1" t="s">
        <v>429</v>
      </c>
    </row>
    <row r="213" spans="1:16" x14ac:dyDescent="0.25">
      <c r="A213">
        <v>14</v>
      </c>
      <c r="B213" t="s">
        <v>400</v>
      </c>
      <c r="C213" t="s">
        <v>313</v>
      </c>
      <c r="D213" t="s">
        <v>401</v>
      </c>
      <c r="E213" t="s">
        <v>402</v>
      </c>
      <c r="F213" t="s">
        <v>481</v>
      </c>
      <c r="G213" t="s">
        <v>477</v>
      </c>
      <c r="H213" t="s">
        <v>482</v>
      </c>
      <c r="I213" t="s">
        <v>347</v>
      </c>
      <c r="J213" t="s">
        <v>484</v>
      </c>
      <c r="K213" t="s">
        <v>448</v>
      </c>
      <c r="L213" t="s">
        <v>487</v>
      </c>
      <c r="M213" t="s">
        <v>424</v>
      </c>
      <c r="N213" t="s">
        <v>427</v>
      </c>
      <c r="O213" t="s">
        <v>426</v>
      </c>
      <c r="P213" t="s">
        <v>347</v>
      </c>
    </row>
    <row r="214" spans="1:16" x14ac:dyDescent="0.25">
      <c r="A214">
        <v>14</v>
      </c>
      <c r="B214" t="s">
        <v>400</v>
      </c>
      <c r="C214" t="s">
        <v>313</v>
      </c>
      <c r="D214" t="s">
        <v>401</v>
      </c>
      <c r="E214" t="s">
        <v>402</v>
      </c>
      <c r="F214" t="s">
        <v>481</v>
      </c>
      <c r="G214" t="s">
        <v>478</v>
      </c>
      <c r="H214" t="s">
        <v>170</v>
      </c>
      <c r="I214" t="s">
        <v>347</v>
      </c>
      <c r="J214" t="s">
        <v>457</v>
      </c>
      <c r="K214" t="s">
        <v>486</v>
      </c>
      <c r="L214" t="s">
        <v>487</v>
      </c>
      <c r="M214" t="s">
        <v>427</v>
      </c>
      <c r="N214" t="s">
        <v>426</v>
      </c>
      <c r="O214" t="s">
        <v>426</v>
      </c>
      <c r="P214" t="s">
        <v>347</v>
      </c>
    </row>
    <row r="215" spans="1:16" x14ac:dyDescent="0.25">
      <c r="A215">
        <v>14</v>
      </c>
      <c r="B215" t="s">
        <v>400</v>
      </c>
      <c r="C215" t="s">
        <v>313</v>
      </c>
      <c r="D215" t="s">
        <v>401</v>
      </c>
      <c r="E215" t="s">
        <v>402</v>
      </c>
      <c r="F215" t="s">
        <v>481</v>
      </c>
      <c r="G215" t="s">
        <v>479</v>
      </c>
      <c r="H215" t="s">
        <v>483</v>
      </c>
      <c r="I215" t="s">
        <v>362</v>
      </c>
      <c r="J215" t="s">
        <v>445</v>
      </c>
      <c r="K215" t="s">
        <v>438</v>
      </c>
      <c r="L215" t="s">
        <v>487</v>
      </c>
      <c r="M215" t="s">
        <v>424</v>
      </c>
      <c r="N215" t="s">
        <v>427</v>
      </c>
      <c r="O215" t="s">
        <v>427</v>
      </c>
      <c r="P215" t="s">
        <v>362</v>
      </c>
    </row>
    <row r="216" spans="1:16" x14ac:dyDescent="0.25">
      <c r="A216">
        <v>14</v>
      </c>
      <c r="B216" t="s">
        <v>400</v>
      </c>
      <c r="C216" t="s">
        <v>313</v>
      </c>
      <c r="D216" t="s">
        <v>401</v>
      </c>
      <c r="E216" t="s">
        <v>402</v>
      </c>
      <c r="F216" t="s">
        <v>481</v>
      </c>
      <c r="G216" t="s">
        <v>480</v>
      </c>
      <c r="H216" s="1" t="s">
        <v>483</v>
      </c>
      <c r="I216" s="1" t="s">
        <v>435</v>
      </c>
      <c r="J216" s="1" t="s">
        <v>485</v>
      </c>
      <c r="K216" t="s">
        <v>414</v>
      </c>
      <c r="L216" t="s">
        <v>487</v>
      </c>
      <c r="M216" t="s">
        <v>427</v>
      </c>
      <c r="N216" t="s">
        <v>426</v>
      </c>
      <c r="O216" t="s">
        <v>426</v>
      </c>
      <c r="P216" t="s">
        <v>435</v>
      </c>
    </row>
    <row r="218" spans="1:16" x14ac:dyDescent="0.25">
      <c r="F218" s="1" t="s">
        <v>4</v>
      </c>
      <c r="G218" s="1" t="s">
        <v>717</v>
      </c>
      <c r="H218" s="1" t="s">
        <v>404</v>
      </c>
      <c r="I218" s="1" t="s">
        <v>406</v>
      </c>
      <c r="J218" s="1" t="s">
        <v>408</v>
      </c>
      <c r="K218" s="1" t="s">
        <v>412</v>
      </c>
      <c r="L218" s="1" t="s">
        <v>417</v>
      </c>
      <c r="M218" s="1" t="s">
        <v>422</v>
      </c>
      <c r="N218" s="1" t="s">
        <v>425</v>
      </c>
      <c r="O218" s="1" t="s">
        <v>428</v>
      </c>
      <c r="P218" s="1" t="s">
        <v>429</v>
      </c>
    </row>
    <row r="219" spans="1:16" x14ac:dyDescent="0.25">
      <c r="A219">
        <v>14</v>
      </c>
      <c r="B219" t="s">
        <v>400</v>
      </c>
      <c r="C219" t="s">
        <v>313</v>
      </c>
      <c r="D219" t="s">
        <v>401</v>
      </c>
      <c r="E219" t="s">
        <v>402</v>
      </c>
      <c r="F219" t="s">
        <v>491</v>
      </c>
      <c r="G219" t="s">
        <v>488</v>
      </c>
      <c r="H219" t="s">
        <v>33</v>
      </c>
      <c r="I219" t="s">
        <v>347</v>
      </c>
      <c r="J219" t="s">
        <v>456</v>
      </c>
      <c r="K219" t="s">
        <v>492</v>
      </c>
      <c r="L219" t="s">
        <v>495</v>
      </c>
      <c r="M219" t="s">
        <v>426</v>
      </c>
      <c r="N219" t="s">
        <v>426</v>
      </c>
      <c r="O219" t="s">
        <v>426</v>
      </c>
      <c r="P219" t="s">
        <v>347</v>
      </c>
    </row>
    <row r="220" spans="1:16" x14ac:dyDescent="0.25">
      <c r="A220">
        <v>14</v>
      </c>
      <c r="B220" t="s">
        <v>400</v>
      </c>
      <c r="C220" t="s">
        <v>313</v>
      </c>
      <c r="D220" t="s">
        <v>401</v>
      </c>
      <c r="E220" t="s">
        <v>402</v>
      </c>
      <c r="F220" t="s">
        <v>491</v>
      </c>
      <c r="G220" t="s">
        <v>489</v>
      </c>
      <c r="H220" t="s">
        <v>33</v>
      </c>
      <c r="I220" t="s">
        <v>347</v>
      </c>
      <c r="J220" t="s">
        <v>456</v>
      </c>
      <c r="K220" t="s">
        <v>493</v>
      </c>
      <c r="L220" t="s">
        <v>496</v>
      </c>
      <c r="M220" t="s">
        <v>426</v>
      </c>
      <c r="N220" t="s">
        <v>426</v>
      </c>
      <c r="O220" t="s">
        <v>427</v>
      </c>
      <c r="P220" t="s">
        <v>347</v>
      </c>
    </row>
    <row r="221" spans="1:16" x14ac:dyDescent="0.25">
      <c r="A221">
        <v>14</v>
      </c>
      <c r="B221" t="s">
        <v>400</v>
      </c>
      <c r="C221" t="s">
        <v>313</v>
      </c>
      <c r="D221" t="s">
        <v>401</v>
      </c>
      <c r="E221" t="s">
        <v>402</v>
      </c>
      <c r="F221" t="s">
        <v>491</v>
      </c>
      <c r="G221" t="s">
        <v>490</v>
      </c>
      <c r="H221" t="s">
        <v>27</v>
      </c>
      <c r="I221" t="s">
        <v>362</v>
      </c>
      <c r="J221" t="s">
        <v>445</v>
      </c>
      <c r="K221" t="s">
        <v>494</v>
      </c>
      <c r="L221" t="s">
        <v>497</v>
      </c>
      <c r="M221" t="s">
        <v>424</v>
      </c>
      <c r="N221" t="s">
        <v>427</v>
      </c>
      <c r="O221" t="s">
        <v>427</v>
      </c>
      <c r="P221" t="s">
        <v>362</v>
      </c>
    </row>
    <row r="223" spans="1:16" x14ac:dyDescent="0.25">
      <c r="F223" s="1" t="s">
        <v>4</v>
      </c>
      <c r="G223" s="1" t="s">
        <v>717</v>
      </c>
      <c r="H223" s="1" t="s">
        <v>404</v>
      </c>
      <c r="I223" s="1" t="s">
        <v>406</v>
      </c>
      <c r="J223" s="1" t="s">
        <v>408</v>
      </c>
      <c r="K223" s="1" t="s">
        <v>412</v>
      </c>
      <c r="L223" s="1" t="s">
        <v>417</v>
      </c>
      <c r="M223" s="1" t="s">
        <v>422</v>
      </c>
      <c r="N223" s="1" t="s">
        <v>425</v>
      </c>
      <c r="O223" s="1" t="s">
        <v>428</v>
      </c>
      <c r="P223" s="1" t="s">
        <v>429</v>
      </c>
    </row>
    <row r="224" spans="1:16" x14ac:dyDescent="0.25">
      <c r="A224">
        <v>14</v>
      </c>
      <c r="B224" t="s">
        <v>400</v>
      </c>
      <c r="C224" t="s">
        <v>313</v>
      </c>
      <c r="D224" t="s">
        <v>401</v>
      </c>
      <c r="E224" t="s">
        <v>402</v>
      </c>
      <c r="F224" t="s">
        <v>502</v>
      </c>
      <c r="G224" t="s">
        <v>498</v>
      </c>
      <c r="H224" t="s">
        <v>503</v>
      </c>
      <c r="I224">
        <v>99</v>
      </c>
      <c r="J224" t="s">
        <v>506</v>
      </c>
      <c r="K224" t="s">
        <v>508</v>
      </c>
      <c r="L224" t="s">
        <v>509</v>
      </c>
      <c r="M224" t="s">
        <v>423</v>
      </c>
      <c r="N224" t="s">
        <v>423</v>
      </c>
      <c r="O224" t="s">
        <v>423</v>
      </c>
      <c r="P224">
        <v>90</v>
      </c>
    </row>
    <row r="225" spans="1:16" x14ac:dyDescent="0.25">
      <c r="A225">
        <v>14</v>
      </c>
      <c r="B225" t="s">
        <v>400</v>
      </c>
      <c r="C225" t="s">
        <v>313</v>
      </c>
      <c r="D225" t="s">
        <v>401</v>
      </c>
      <c r="E225" t="s">
        <v>402</v>
      </c>
      <c r="F225" t="s">
        <v>502</v>
      </c>
      <c r="G225" t="s">
        <v>499</v>
      </c>
      <c r="H225" t="s">
        <v>504</v>
      </c>
      <c r="I225" t="s">
        <v>362</v>
      </c>
      <c r="J225" t="s">
        <v>456</v>
      </c>
      <c r="K225" t="s">
        <v>508</v>
      </c>
      <c r="L225" t="s">
        <v>420</v>
      </c>
      <c r="M225" t="s">
        <v>423</v>
      </c>
      <c r="N225" t="s">
        <v>424</v>
      </c>
      <c r="O225" t="s">
        <v>424</v>
      </c>
      <c r="P225">
        <v>99</v>
      </c>
    </row>
    <row r="226" spans="1:16" x14ac:dyDescent="0.25">
      <c r="A226">
        <v>14</v>
      </c>
      <c r="B226" t="s">
        <v>400</v>
      </c>
      <c r="C226" t="s">
        <v>313</v>
      </c>
      <c r="D226" t="s">
        <v>401</v>
      </c>
      <c r="E226" t="s">
        <v>402</v>
      </c>
      <c r="F226" t="s">
        <v>502</v>
      </c>
      <c r="G226" t="s">
        <v>500</v>
      </c>
      <c r="H226" t="s">
        <v>35</v>
      </c>
      <c r="I226" t="s">
        <v>435</v>
      </c>
      <c r="J226" t="s">
        <v>507</v>
      </c>
      <c r="K226" t="s">
        <v>416</v>
      </c>
      <c r="L226" t="s">
        <v>440</v>
      </c>
      <c r="M226" t="s">
        <v>427</v>
      </c>
      <c r="N226" t="s">
        <v>427</v>
      </c>
      <c r="O226" t="s">
        <v>424</v>
      </c>
      <c r="P226" t="s">
        <v>362</v>
      </c>
    </row>
    <row r="227" spans="1:16" x14ac:dyDescent="0.25">
      <c r="A227">
        <v>14</v>
      </c>
      <c r="B227" t="s">
        <v>400</v>
      </c>
      <c r="C227" t="s">
        <v>313</v>
      </c>
      <c r="D227" t="s">
        <v>401</v>
      </c>
      <c r="E227" t="s">
        <v>402</v>
      </c>
      <c r="F227" t="s">
        <v>502</v>
      </c>
      <c r="G227" t="s">
        <v>501</v>
      </c>
      <c r="H227" t="s">
        <v>505</v>
      </c>
      <c r="I227" t="s">
        <v>347</v>
      </c>
      <c r="J227" t="s">
        <v>485</v>
      </c>
      <c r="K227" t="s">
        <v>416</v>
      </c>
      <c r="L227" t="s">
        <v>510</v>
      </c>
      <c r="M227" t="s">
        <v>426</v>
      </c>
      <c r="N227" t="s">
        <v>427</v>
      </c>
      <c r="O227" t="s">
        <v>426</v>
      </c>
      <c r="P227" t="s">
        <v>435</v>
      </c>
    </row>
    <row r="229" spans="1:16" x14ac:dyDescent="0.25">
      <c r="F229" s="1" t="s">
        <v>4</v>
      </c>
      <c r="G229" s="1" t="s">
        <v>717</v>
      </c>
      <c r="H229" s="1" t="s">
        <v>404</v>
      </c>
      <c r="I229" s="1" t="s">
        <v>406</v>
      </c>
      <c r="J229" s="1" t="s">
        <v>408</v>
      </c>
      <c r="K229" s="1" t="s">
        <v>412</v>
      </c>
      <c r="L229" s="1" t="s">
        <v>417</v>
      </c>
      <c r="M229" s="1" t="s">
        <v>422</v>
      </c>
      <c r="N229" s="1" t="s">
        <v>425</v>
      </c>
      <c r="O229" s="1" t="s">
        <v>428</v>
      </c>
      <c r="P229" s="1" t="s">
        <v>429</v>
      </c>
    </row>
    <row r="230" spans="1:16" x14ac:dyDescent="0.25">
      <c r="A230">
        <v>14</v>
      </c>
      <c r="B230" t="s">
        <v>400</v>
      </c>
      <c r="C230" t="s">
        <v>313</v>
      </c>
      <c r="D230" t="s">
        <v>401</v>
      </c>
      <c r="E230" t="s">
        <v>402</v>
      </c>
      <c r="F230" t="s">
        <v>514</v>
      </c>
      <c r="G230" t="s">
        <v>511</v>
      </c>
      <c r="H230" t="s">
        <v>33</v>
      </c>
      <c r="I230" t="s">
        <v>347</v>
      </c>
      <c r="J230" t="s">
        <v>445</v>
      </c>
      <c r="K230" t="s">
        <v>516</v>
      </c>
      <c r="L230" t="s">
        <v>497</v>
      </c>
      <c r="M230" t="s">
        <v>426</v>
      </c>
      <c r="N230" t="s">
        <v>426</v>
      </c>
      <c r="O230" t="s">
        <v>427</v>
      </c>
      <c r="P230" t="s">
        <v>347</v>
      </c>
    </row>
    <row r="231" spans="1:16" x14ac:dyDescent="0.25">
      <c r="A231">
        <v>14</v>
      </c>
      <c r="B231" t="s">
        <v>400</v>
      </c>
      <c r="C231" t="s">
        <v>313</v>
      </c>
      <c r="D231" t="s">
        <v>401</v>
      </c>
      <c r="E231" t="s">
        <v>402</v>
      </c>
      <c r="F231" t="s">
        <v>514</v>
      </c>
      <c r="G231" t="s">
        <v>512</v>
      </c>
      <c r="H231" t="s">
        <v>33</v>
      </c>
      <c r="I231" t="s">
        <v>347</v>
      </c>
      <c r="J231" t="s">
        <v>515</v>
      </c>
      <c r="K231" t="s">
        <v>516</v>
      </c>
      <c r="L231" t="s">
        <v>518</v>
      </c>
      <c r="M231" t="s">
        <v>426</v>
      </c>
      <c r="N231" t="s">
        <v>426</v>
      </c>
      <c r="O231" t="s">
        <v>427</v>
      </c>
      <c r="P231" t="s">
        <v>347</v>
      </c>
    </row>
    <row r="232" spans="1:16" x14ac:dyDescent="0.25">
      <c r="A232">
        <v>14</v>
      </c>
      <c r="B232" t="s">
        <v>400</v>
      </c>
      <c r="C232" t="s">
        <v>313</v>
      </c>
      <c r="D232" t="s">
        <v>401</v>
      </c>
      <c r="E232" t="s">
        <v>402</v>
      </c>
      <c r="F232" t="s">
        <v>514</v>
      </c>
      <c r="G232" t="s">
        <v>513</v>
      </c>
      <c r="H232" t="s">
        <v>172</v>
      </c>
      <c r="I232">
        <v>99</v>
      </c>
      <c r="J232" t="s">
        <v>445</v>
      </c>
      <c r="K232" t="s">
        <v>517</v>
      </c>
      <c r="L232" t="s">
        <v>519</v>
      </c>
      <c r="M232" t="s">
        <v>424</v>
      </c>
      <c r="N232" t="s">
        <v>427</v>
      </c>
      <c r="O232" t="s">
        <v>424</v>
      </c>
      <c r="P232" t="s">
        <v>347</v>
      </c>
    </row>
    <row r="234" spans="1:16" x14ac:dyDescent="0.25">
      <c r="F234" s="1" t="s">
        <v>4</v>
      </c>
      <c r="G234" s="1" t="s">
        <v>717</v>
      </c>
      <c r="H234" s="1" t="s">
        <v>404</v>
      </c>
      <c r="I234" s="1" t="s">
        <v>406</v>
      </c>
      <c r="J234" s="1" t="s">
        <v>408</v>
      </c>
      <c r="K234" s="1" t="s">
        <v>412</v>
      </c>
      <c r="L234" s="1" t="s">
        <v>417</v>
      </c>
      <c r="M234" s="1" t="s">
        <v>422</v>
      </c>
      <c r="N234" s="1" t="s">
        <v>425</v>
      </c>
      <c r="O234" s="1" t="s">
        <v>428</v>
      </c>
      <c r="P234" s="1" t="s">
        <v>429</v>
      </c>
    </row>
    <row r="235" spans="1:16" x14ac:dyDescent="0.25">
      <c r="A235">
        <v>14</v>
      </c>
      <c r="B235" t="s">
        <v>400</v>
      </c>
      <c r="C235" t="s">
        <v>313</v>
      </c>
      <c r="D235" t="s">
        <v>401</v>
      </c>
      <c r="E235" t="s">
        <v>402</v>
      </c>
      <c r="F235" t="s">
        <v>524</v>
      </c>
      <c r="G235" t="s">
        <v>520</v>
      </c>
      <c r="H235" t="s">
        <v>29</v>
      </c>
      <c r="I235">
        <v>95</v>
      </c>
      <c r="J235" t="s">
        <v>456</v>
      </c>
      <c r="K235" t="s">
        <v>525</v>
      </c>
      <c r="L235" t="s">
        <v>418</v>
      </c>
      <c r="M235" t="s">
        <v>424</v>
      </c>
      <c r="N235" t="s">
        <v>427</v>
      </c>
      <c r="O235" t="s">
        <v>427</v>
      </c>
      <c r="P235" t="s">
        <v>387</v>
      </c>
    </row>
    <row r="236" spans="1:16" x14ac:dyDescent="0.25">
      <c r="A236">
        <v>14</v>
      </c>
      <c r="B236" t="s">
        <v>400</v>
      </c>
      <c r="C236" t="s">
        <v>313</v>
      </c>
      <c r="D236" t="s">
        <v>401</v>
      </c>
      <c r="E236" t="s">
        <v>402</v>
      </c>
      <c r="F236" t="s">
        <v>524</v>
      </c>
      <c r="G236" t="s">
        <v>521</v>
      </c>
      <c r="H236" t="s">
        <v>405</v>
      </c>
      <c r="I236" t="s">
        <v>387</v>
      </c>
      <c r="J236" t="s">
        <v>457</v>
      </c>
      <c r="K236" t="s">
        <v>525</v>
      </c>
      <c r="L236" t="s">
        <v>418</v>
      </c>
      <c r="M236" t="s">
        <v>424</v>
      </c>
      <c r="N236" t="s">
        <v>427</v>
      </c>
      <c r="O236" t="s">
        <v>427</v>
      </c>
      <c r="P236" t="s">
        <v>387</v>
      </c>
    </row>
    <row r="237" spans="1:16" x14ac:dyDescent="0.25">
      <c r="A237">
        <v>14</v>
      </c>
      <c r="B237" t="s">
        <v>400</v>
      </c>
      <c r="C237" t="s">
        <v>313</v>
      </c>
      <c r="D237" t="s">
        <v>401</v>
      </c>
      <c r="E237" t="s">
        <v>402</v>
      </c>
      <c r="F237" t="s">
        <v>524</v>
      </c>
      <c r="G237" t="s">
        <v>522</v>
      </c>
      <c r="H237" t="s">
        <v>405</v>
      </c>
      <c r="I237" t="s">
        <v>387</v>
      </c>
      <c r="J237" t="s">
        <v>457</v>
      </c>
      <c r="K237" t="s">
        <v>525</v>
      </c>
      <c r="L237" t="s">
        <v>418</v>
      </c>
      <c r="M237" t="s">
        <v>424</v>
      </c>
      <c r="N237" t="s">
        <v>427</v>
      </c>
      <c r="O237" t="s">
        <v>427</v>
      </c>
      <c r="P237" t="s">
        <v>387</v>
      </c>
    </row>
    <row r="238" spans="1:16" x14ac:dyDescent="0.25">
      <c r="A238">
        <v>14</v>
      </c>
      <c r="B238" t="s">
        <v>400</v>
      </c>
      <c r="C238" t="s">
        <v>313</v>
      </c>
      <c r="D238" t="s">
        <v>401</v>
      </c>
      <c r="E238" t="s">
        <v>402</v>
      </c>
      <c r="F238" t="s">
        <v>524</v>
      </c>
      <c r="G238" t="s">
        <v>523</v>
      </c>
      <c r="H238" t="s">
        <v>170</v>
      </c>
      <c r="I238" t="s">
        <v>387</v>
      </c>
      <c r="J238" t="s">
        <v>457</v>
      </c>
      <c r="K238" t="s">
        <v>525</v>
      </c>
      <c r="L238" t="s">
        <v>418</v>
      </c>
      <c r="M238" t="s">
        <v>424</v>
      </c>
      <c r="N238" t="s">
        <v>427</v>
      </c>
      <c r="O238" t="s">
        <v>427</v>
      </c>
      <c r="P238" t="s">
        <v>387</v>
      </c>
    </row>
    <row r="240" spans="1:16" x14ac:dyDescent="0.25">
      <c r="F240" s="1" t="s">
        <v>4</v>
      </c>
      <c r="G240" s="1" t="s">
        <v>717</v>
      </c>
      <c r="H240" s="1" t="s">
        <v>404</v>
      </c>
      <c r="I240" s="1" t="s">
        <v>406</v>
      </c>
      <c r="J240" s="1" t="s">
        <v>408</v>
      </c>
      <c r="K240" s="1" t="s">
        <v>412</v>
      </c>
      <c r="L240" s="1" t="s">
        <v>417</v>
      </c>
      <c r="M240" s="1" t="s">
        <v>422</v>
      </c>
      <c r="N240" s="1" t="s">
        <v>425</v>
      </c>
      <c r="O240" s="1" t="s">
        <v>428</v>
      </c>
      <c r="P240" s="1" t="s">
        <v>429</v>
      </c>
    </row>
    <row r="241" spans="1:16" x14ac:dyDescent="0.25">
      <c r="A241">
        <v>14</v>
      </c>
      <c r="B241" t="s">
        <v>400</v>
      </c>
      <c r="C241" t="s">
        <v>313</v>
      </c>
      <c r="D241" t="s">
        <v>401</v>
      </c>
      <c r="E241" t="s">
        <v>402</v>
      </c>
      <c r="F241" t="s">
        <v>531</v>
      </c>
      <c r="G241" t="s">
        <v>526</v>
      </c>
      <c r="H241" t="s">
        <v>170</v>
      </c>
      <c r="I241" t="s">
        <v>387</v>
      </c>
      <c r="J241" t="s">
        <v>532</v>
      </c>
      <c r="K241" t="s">
        <v>415</v>
      </c>
      <c r="L241" t="s">
        <v>535</v>
      </c>
      <c r="M241" t="s">
        <v>426</v>
      </c>
      <c r="N241" t="s">
        <v>424</v>
      </c>
      <c r="O241" t="s">
        <v>426</v>
      </c>
      <c r="P241" t="s">
        <v>387</v>
      </c>
    </row>
    <row r="242" spans="1:16" x14ac:dyDescent="0.25">
      <c r="A242">
        <v>14</v>
      </c>
      <c r="B242" t="s">
        <v>400</v>
      </c>
      <c r="C242" t="s">
        <v>313</v>
      </c>
      <c r="D242" t="s">
        <v>401</v>
      </c>
      <c r="E242" t="s">
        <v>402</v>
      </c>
      <c r="F242" t="s">
        <v>531</v>
      </c>
      <c r="G242" t="s">
        <v>527</v>
      </c>
      <c r="H242" t="s">
        <v>33</v>
      </c>
      <c r="I242" t="s">
        <v>347</v>
      </c>
      <c r="J242" t="s">
        <v>445</v>
      </c>
      <c r="K242" t="s">
        <v>438</v>
      </c>
      <c r="L242" t="s">
        <v>519</v>
      </c>
      <c r="M242" t="s">
        <v>426</v>
      </c>
      <c r="N242" t="s">
        <v>426</v>
      </c>
      <c r="O242" t="s">
        <v>427</v>
      </c>
      <c r="P242" t="s">
        <v>347</v>
      </c>
    </row>
    <row r="243" spans="1:16" x14ac:dyDescent="0.25">
      <c r="A243">
        <v>14</v>
      </c>
      <c r="B243" t="s">
        <v>400</v>
      </c>
      <c r="C243" t="s">
        <v>313</v>
      </c>
      <c r="D243" t="s">
        <v>401</v>
      </c>
      <c r="E243" t="s">
        <v>402</v>
      </c>
      <c r="F243" t="s">
        <v>531</v>
      </c>
      <c r="G243" t="s">
        <v>528</v>
      </c>
      <c r="H243" t="s">
        <v>163</v>
      </c>
      <c r="I243" t="s">
        <v>362</v>
      </c>
      <c r="J243" t="s">
        <v>445</v>
      </c>
      <c r="K243" t="s">
        <v>476</v>
      </c>
      <c r="L243" t="s">
        <v>536</v>
      </c>
      <c r="M243" t="s">
        <v>427</v>
      </c>
      <c r="N243" t="s">
        <v>427</v>
      </c>
      <c r="O243" t="s">
        <v>426</v>
      </c>
      <c r="P243" t="s">
        <v>362</v>
      </c>
    </row>
    <row r="244" spans="1:16" x14ac:dyDescent="0.25">
      <c r="A244">
        <v>14</v>
      </c>
      <c r="B244" t="s">
        <v>400</v>
      </c>
      <c r="C244" t="s">
        <v>313</v>
      </c>
      <c r="D244" t="s">
        <v>401</v>
      </c>
      <c r="E244" t="s">
        <v>402</v>
      </c>
      <c r="F244" t="s">
        <v>531</v>
      </c>
      <c r="G244" t="s">
        <v>529</v>
      </c>
      <c r="H244" t="s">
        <v>33</v>
      </c>
      <c r="I244" t="s">
        <v>347</v>
      </c>
      <c r="J244" t="s">
        <v>533</v>
      </c>
      <c r="K244" t="s">
        <v>437</v>
      </c>
      <c r="L244" t="s">
        <v>537</v>
      </c>
      <c r="M244" t="s">
        <v>427</v>
      </c>
      <c r="N244" t="s">
        <v>426</v>
      </c>
      <c r="O244" t="s">
        <v>426</v>
      </c>
      <c r="P244" t="s">
        <v>347</v>
      </c>
    </row>
    <row r="245" spans="1:16" x14ac:dyDescent="0.25">
      <c r="A245">
        <v>14</v>
      </c>
      <c r="B245" t="s">
        <v>400</v>
      </c>
      <c r="C245" t="s">
        <v>313</v>
      </c>
      <c r="D245" t="s">
        <v>401</v>
      </c>
      <c r="E245" t="s">
        <v>402</v>
      </c>
      <c r="F245" t="s">
        <v>531</v>
      </c>
      <c r="G245" t="s">
        <v>530</v>
      </c>
      <c r="H245" t="s">
        <v>35</v>
      </c>
      <c r="I245">
        <v>99</v>
      </c>
      <c r="J245" t="s">
        <v>436</v>
      </c>
      <c r="K245" t="s">
        <v>534</v>
      </c>
      <c r="L245" t="s">
        <v>440</v>
      </c>
      <c r="M245" t="s">
        <v>424</v>
      </c>
      <c r="N245" t="s">
        <v>426</v>
      </c>
      <c r="O245" t="s">
        <v>427</v>
      </c>
      <c r="P245" t="s">
        <v>347</v>
      </c>
    </row>
    <row r="246" spans="1:1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6" x14ac:dyDescent="0.25">
      <c r="F247" s="1" t="s">
        <v>538</v>
      </c>
      <c r="G247" s="1" t="s">
        <v>539</v>
      </c>
      <c r="H247" s="1" t="s">
        <v>540</v>
      </c>
      <c r="I247" s="1" t="s">
        <v>541</v>
      </c>
    </row>
    <row r="248" spans="1:16" x14ac:dyDescent="0.25">
      <c r="A248">
        <v>15</v>
      </c>
      <c r="B248" t="s">
        <v>542</v>
      </c>
      <c r="C248" t="s">
        <v>543</v>
      </c>
      <c r="D248" t="s">
        <v>544</v>
      </c>
      <c r="E248" t="s">
        <v>545</v>
      </c>
      <c r="F248" t="s">
        <v>546</v>
      </c>
      <c r="G248" t="s">
        <v>320</v>
      </c>
      <c r="H248" t="s">
        <v>547</v>
      </c>
      <c r="I248" t="s">
        <v>548</v>
      </c>
    </row>
    <row r="249" spans="1:16" x14ac:dyDescent="0.25">
      <c r="A249">
        <v>15</v>
      </c>
      <c r="B249" t="s">
        <v>542</v>
      </c>
      <c r="C249" t="s">
        <v>543</v>
      </c>
      <c r="D249" t="s">
        <v>544</v>
      </c>
      <c r="E249" t="s">
        <v>545</v>
      </c>
      <c r="F249" t="s">
        <v>549</v>
      </c>
      <c r="G249" t="s">
        <v>550</v>
      </c>
      <c r="H249" t="s">
        <v>551</v>
      </c>
      <c r="I249" t="s">
        <v>552</v>
      </c>
    </row>
    <row r="250" spans="1:16" x14ac:dyDescent="0.25">
      <c r="A250">
        <v>15</v>
      </c>
      <c r="B250" t="s">
        <v>542</v>
      </c>
      <c r="C250" t="s">
        <v>543</v>
      </c>
      <c r="D250" t="s">
        <v>544</v>
      </c>
      <c r="E250" t="s">
        <v>545</v>
      </c>
      <c r="F250" t="s">
        <v>553</v>
      </c>
      <c r="G250" t="s">
        <v>320</v>
      </c>
      <c r="H250" t="s">
        <v>554</v>
      </c>
      <c r="I250" t="s">
        <v>555</v>
      </c>
    </row>
    <row r="251" spans="1:16" x14ac:dyDescent="0.25">
      <c r="A251">
        <v>15</v>
      </c>
      <c r="B251" t="s">
        <v>542</v>
      </c>
      <c r="C251" t="s">
        <v>543</v>
      </c>
      <c r="D251" t="s">
        <v>544</v>
      </c>
      <c r="E251" t="s">
        <v>545</v>
      </c>
      <c r="F251" t="s">
        <v>556</v>
      </c>
      <c r="G251" t="s">
        <v>550</v>
      </c>
      <c r="H251" t="s">
        <v>557</v>
      </c>
      <c r="I251" t="s">
        <v>558</v>
      </c>
    </row>
    <row r="253" spans="1:16" x14ac:dyDescent="0.25">
      <c r="F253" t="s">
        <v>559</v>
      </c>
    </row>
    <row r="254" spans="1:16" x14ac:dyDescent="0.25">
      <c r="F254" s="1" t="s">
        <v>5</v>
      </c>
      <c r="G254" s="1" t="s">
        <v>560</v>
      </c>
      <c r="H254" s="1" t="s">
        <v>332</v>
      </c>
      <c r="I254" s="1" t="s">
        <v>561</v>
      </c>
    </row>
    <row r="255" spans="1:16" x14ac:dyDescent="0.25">
      <c r="A255">
        <v>15</v>
      </c>
      <c r="B255" t="s">
        <v>542</v>
      </c>
      <c r="C255" t="s">
        <v>543</v>
      </c>
      <c r="D255" t="s">
        <v>544</v>
      </c>
      <c r="E255" t="s">
        <v>562</v>
      </c>
      <c r="F255" t="s">
        <v>563</v>
      </c>
      <c r="G255" t="s">
        <v>564</v>
      </c>
      <c r="H255" t="s">
        <v>347</v>
      </c>
      <c r="I255" t="s">
        <v>330</v>
      </c>
    </row>
    <row r="256" spans="1:16" x14ac:dyDescent="0.25">
      <c r="A256">
        <v>15</v>
      </c>
      <c r="B256" t="s">
        <v>542</v>
      </c>
      <c r="C256" t="s">
        <v>543</v>
      </c>
      <c r="D256" t="s">
        <v>544</v>
      </c>
      <c r="E256" t="s">
        <v>562</v>
      </c>
      <c r="F256" t="s">
        <v>177</v>
      </c>
      <c r="G256" t="s">
        <v>565</v>
      </c>
      <c r="H256" t="s">
        <v>347</v>
      </c>
      <c r="I256" t="s">
        <v>566</v>
      </c>
    </row>
    <row r="257" spans="1:13" x14ac:dyDescent="0.25">
      <c r="A257">
        <v>15</v>
      </c>
      <c r="B257" t="s">
        <v>542</v>
      </c>
      <c r="C257" t="s">
        <v>543</v>
      </c>
      <c r="D257" t="s">
        <v>544</v>
      </c>
      <c r="E257" t="s">
        <v>562</v>
      </c>
      <c r="F257" t="s">
        <v>567</v>
      </c>
      <c r="G257" t="s">
        <v>564</v>
      </c>
      <c r="H257" t="s">
        <v>347</v>
      </c>
      <c r="I257" t="s">
        <v>330</v>
      </c>
    </row>
    <row r="258" spans="1:13" x14ac:dyDescent="0.25">
      <c r="A258">
        <v>15</v>
      </c>
      <c r="B258" t="s">
        <v>542</v>
      </c>
      <c r="C258" t="s">
        <v>543</v>
      </c>
      <c r="D258" t="s">
        <v>544</v>
      </c>
      <c r="E258" t="s">
        <v>562</v>
      </c>
      <c r="F258" t="s">
        <v>568</v>
      </c>
      <c r="G258" t="s">
        <v>168</v>
      </c>
      <c r="H258" t="s">
        <v>435</v>
      </c>
      <c r="I258" t="s">
        <v>566</v>
      </c>
    </row>
    <row r="259" spans="1:13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x14ac:dyDescent="0.25">
      <c r="F260" s="1" t="s">
        <v>5</v>
      </c>
      <c r="G260" s="1" t="s">
        <v>333</v>
      </c>
      <c r="H260" s="1" t="s">
        <v>569</v>
      </c>
    </row>
    <row r="261" spans="1:13" x14ac:dyDescent="0.25">
      <c r="A261">
        <v>16</v>
      </c>
      <c r="B261" t="s">
        <v>570</v>
      </c>
      <c r="C261" t="s">
        <v>543</v>
      </c>
      <c r="D261" t="s">
        <v>571</v>
      </c>
      <c r="E261" t="s">
        <v>59</v>
      </c>
      <c r="F261" t="s">
        <v>572</v>
      </c>
      <c r="G261">
        <v>250</v>
      </c>
      <c r="H261" t="s">
        <v>193</v>
      </c>
    </row>
    <row r="262" spans="1:13" x14ac:dyDescent="0.25">
      <c r="A262">
        <v>16</v>
      </c>
      <c r="B262" t="s">
        <v>570</v>
      </c>
      <c r="C262" t="s">
        <v>543</v>
      </c>
      <c r="D262" t="s">
        <v>571</v>
      </c>
      <c r="E262" t="s">
        <v>59</v>
      </c>
      <c r="F262" t="s">
        <v>567</v>
      </c>
      <c r="G262">
        <v>10</v>
      </c>
      <c r="H262" t="s">
        <v>573</v>
      </c>
    </row>
    <row r="263" spans="1:13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x14ac:dyDescent="0.25">
      <c r="F264" t="s">
        <v>574</v>
      </c>
    </row>
    <row r="265" spans="1:13" x14ac:dyDescent="0.25">
      <c r="F265" s="1" t="s">
        <v>575</v>
      </c>
      <c r="G265" s="1" t="s">
        <v>13</v>
      </c>
      <c r="H265" s="1" t="s">
        <v>8</v>
      </c>
      <c r="I265" s="1" t="s">
        <v>576</v>
      </c>
    </row>
    <row r="266" spans="1:13" x14ac:dyDescent="0.25">
      <c r="A266">
        <v>17</v>
      </c>
      <c r="B266" t="s">
        <v>577</v>
      </c>
      <c r="C266" t="s">
        <v>543</v>
      </c>
      <c r="D266" t="s">
        <v>578</v>
      </c>
      <c r="E266" t="s">
        <v>545</v>
      </c>
      <c r="F266" t="s">
        <v>579</v>
      </c>
      <c r="G266" t="s">
        <v>580</v>
      </c>
      <c r="H266" t="s">
        <v>581</v>
      </c>
      <c r="I266" t="s">
        <v>582</v>
      </c>
    </row>
    <row r="267" spans="1:13" x14ac:dyDescent="0.25">
      <c r="A267">
        <v>17</v>
      </c>
      <c r="B267" t="s">
        <v>577</v>
      </c>
      <c r="C267" t="s">
        <v>543</v>
      </c>
      <c r="D267" t="s">
        <v>578</v>
      </c>
      <c r="E267" t="s">
        <v>545</v>
      </c>
      <c r="F267" t="s">
        <v>583</v>
      </c>
      <c r="G267" t="s">
        <v>584</v>
      </c>
      <c r="H267" t="s">
        <v>585</v>
      </c>
      <c r="I267" t="s">
        <v>586</v>
      </c>
    </row>
    <row r="268" spans="1:13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x14ac:dyDescent="0.25">
      <c r="F269" s="1" t="s">
        <v>735</v>
      </c>
      <c r="G269" s="1" t="s">
        <v>8</v>
      </c>
      <c r="H269" s="1" t="s">
        <v>595</v>
      </c>
      <c r="I269" s="1" t="s">
        <v>598</v>
      </c>
      <c r="J269" s="1" t="s">
        <v>14</v>
      </c>
      <c r="K269" s="1" t="s">
        <v>601</v>
      </c>
      <c r="L269" s="1" t="s">
        <v>604</v>
      </c>
    </row>
    <row r="270" spans="1:13" x14ac:dyDescent="0.25">
      <c r="A270">
        <v>18</v>
      </c>
      <c r="B270" t="s">
        <v>589</v>
      </c>
      <c r="C270" t="s">
        <v>590</v>
      </c>
      <c r="D270" t="s">
        <v>591</v>
      </c>
      <c r="E270" t="s">
        <v>592</v>
      </c>
      <c r="F270" t="s">
        <v>587</v>
      </c>
      <c r="G270" t="s">
        <v>593</v>
      </c>
      <c r="H270" t="s">
        <v>596</v>
      </c>
      <c r="I270" t="s">
        <v>599</v>
      </c>
      <c r="J270" t="s">
        <v>261</v>
      </c>
      <c r="K270" t="s">
        <v>602</v>
      </c>
      <c r="L270" t="s">
        <v>605</v>
      </c>
    </row>
    <row r="271" spans="1:13" x14ac:dyDescent="0.25">
      <c r="A271">
        <v>18</v>
      </c>
      <c r="B271" t="s">
        <v>589</v>
      </c>
      <c r="C271" t="s">
        <v>590</v>
      </c>
      <c r="D271" t="s">
        <v>591</v>
      </c>
      <c r="E271" t="s">
        <v>592</v>
      </c>
      <c r="F271" t="s">
        <v>588</v>
      </c>
      <c r="G271" t="s">
        <v>594</v>
      </c>
      <c r="H271" t="s">
        <v>597</v>
      </c>
      <c r="I271" t="s">
        <v>600</v>
      </c>
      <c r="J271" t="s">
        <v>258</v>
      </c>
      <c r="K271" t="s">
        <v>603</v>
      </c>
      <c r="L271" t="s">
        <v>606</v>
      </c>
    </row>
    <row r="272" spans="1:13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x14ac:dyDescent="0.25">
      <c r="F273" t="s">
        <v>607</v>
      </c>
    </row>
    <row r="274" spans="1:13" x14ac:dyDescent="0.25">
      <c r="F274" s="1" t="s">
        <v>608</v>
      </c>
      <c r="G274" s="1" t="s">
        <v>609</v>
      </c>
      <c r="H274" s="1" t="s">
        <v>610</v>
      </c>
      <c r="I274" s="1" t="s">
        <v>611</v>
      </c>
      <c r="J274" s="1" t="s">
        <v>612</v>
      </c>
    </row>
    <row r="275" spans="1:13" x14ac:dyDescent="0.25">
      <c r="A275">
        <v>19</v>
      </c>
      <c r="B275" t="s">
        <v>613</v>
      </c>
      <c r="C275" t="s">
        <v>614</v>
      </c>
      <c r="D275" t="s">
        <v>615</v>
      </c>
      <c r="E275" t="s">
        <v>616</v>
      </c>
      <c r="F275" t="s">
        <v>617</v>
      </c>
      <c r="G275" t="s">
        <v>618</v>
      </c>
      <c r="H275" t="s">
        <v>619</v>
      </c>
      <c r="I275" t="s">
        <v>176</v>
      </c>
      <c r="J275" t="s">
        <v>620</v>
      </c>
    </row>
    <row r="276" spans="1:13" x14ac:dyDescent="0.25">
      <c r="A276">
        <v>19</v>
      </c>
      <c r="B276" t="s">
        <v>613</v>
      </c>
      <c r="C276" t="s">
        <v>614</v>
      </c>
      <c r="D276" t="s">
        <v>615</v>
      </c>
      <c r="E276" t="s">
        <v>616</v>
      </c>
      <c r="F276" t="s">
        <v>621</v>
      </c>
      <c r="G276" t="s">
        <v>622</v>
      </c>
      <c r="H276" t="s">
        <v>623</v>
      </c>
      <c r="I276" t="s">
        <v>33</v>
      </c>
      <c r="J276" t="s">
        <v>624</v>
      </c>
    </row>
    <row r="277" spans="1:13" x14ac:dyDescent="0.25">
      <c r="A277">
        <v>19</v>
      </c>
      <c r="B277" t="s">
        <v>613</v>
      </c>
      <c r="C277" t="s">
        <v>614</v>
      </c>
      <c r="D277" t="s">
        <v>615</v>
      </c>
      <c r="E277" t="s">
        <v>616</v>
      </c>
      <c r="F277" t="s">
        <v>625</v>
      </c>
      <c r="G277" t="s">
        <v>626</v>
      </c>
      <c r="H277" t="s">
        <v>626</v>
      </c>
      <c r="I277" t="s">
        <v>268</v>
      </c>
      <c r="J277" t="s">
        <v>627</v>
      </c>
    </row>
    <row r="278" spans="1:13" x14ac:dyDescent="0.25">
      <c r="A278">
        <v>19</v>
      </c>
      <c r="B278" t="s">
        <v>613</v>
      </c>
      <c r="C278" t="s">
        <v>614</v>
      </c>
      <c r="D278" t="s">
        <v>615</v>
      </c>
      <c r="E278" t="s">
        <v>616</v>
      </c>
      <c r="F278" t="s">
        <v>628</v>
      </c>
      <c r="G278" t="s">
        <v>629</v>
      </c>
      <c r="H278" t="s">
        <v>630</v>
      </c>
      <c r="I278" t="s">
        <v>482</v>
      </c>
      <c r="J278" t="s">
        <v>631</v>
      </c>
    </row>
    <row r="279" spans="1:13" x14ac:dyDescent="0.25">
      <c r="A279">
        <v>19</v>
      </c>
      <c r="B279" t="s">
        <v>613</v>
      </c>
      <c r="C279" t="s">
        <v>614</v>
      </c>
      <c r="D279" t="s">
        <v>615</v>
      </c>
      <c r="E279" t="s">
        <v>616</v>
      </c>
      <c r="F279" t="s">
        <v>632</v>
      </c>
      <c r="G279" t="s">
        <v>633</v>
      </c>
      <c r="H279" t="s">
        <v>630</v>
      </c>
      <c r="I279" t="s">
        <v>33</v>
      </c>
      <c r="J279" t="s">
        <v>631</v>
      </c>
    </row>
    <row r="280" spans="1:13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x14ac:dyDescent="0.25">
      <c r="F281" t="s">
        <v>634</v>
      </c>
    </row>
    <row r="282" spans="1:13" x14ac:dyDescent="0.25">
      <c r="F282" s="1" t="s">
        <v>748</v>
      </c>
      <c r="G282" s="1" t="s">
        <v>635</v>
      </c>
      <c r="H282" s="1" t="s">
        <v>13</v>
      </c>
      <c r="I282" s="1" t="s">
        <v>636</v>
      </c>
      <c r="J282" s="1" t="s">
        <v>637</v>
      </c>
    </row>
    <row r="283" spans="1:13" x14ac:dyDescent="0.25">
      <c r="A283">
        <v>20</v>
      </c>
      <c r="B283" t="s">
        <v>638</v>
      </c>
      <c r="C283" t="s">
        <v>639</v>
      </c>
      <c r="D283" t="s">
        <v>640</v>
      </c>
      <c r="E283" t="s">
        <v>545</v>
      </c>
      <c r="F283" t="s">
        <v>641</v>
      </c>
      <c r="G283">
        <v>50</v>
      </c>
      <c r="H283" t="s">
        <v>642</v>
      </c>
      <c r="I283">
        <v>24</v>
      </c>
      <c r="J283">
        <v>1</v>
      </c>
    </row>
    <row r="284" spans="1:13" x14ac:dyDescent="0.25">
      <c r="A284">
        <v>20</v>
      </c>
      <c r="B284" t="s">
        <v>638</v>
      </c>
      <c r="C284" t="s">
        <v>639</v>
      </c>
      <c r="D284" t="s">
        <v>640</v>
      </c>
      <c r="E284" t="s">
        <v>545</v>
      </c>
      <c r="F284" t="s">
        <v>643</v>
      </c>
      <c r="G284">
        <v>100</v>
      </c>
      <c r="H284" t="s">
        <v>642</v>
      </c>
      <c r="I284">
        <v>512</v>
      </c>
      <c r="J284">
        <v>2</v>
      </c>
    </row>
    <row r="285" spans="1:13" x14ac:dyDescent="0.25">
      <c r="A285">
        <v>20</v>
      </c>
      <c r="B285" t="s">
        <v>638</v>
      </c>
      <c r="C285" t="s">
        <v>639</v>
      </c>
      <c r="D285" t="s">
        <v>640</v>
      </c>
      <c r="E285" t="s">
        <v>545</v>
      </c>
      <c r="F285" t="s">
        <v>644</v>
      </c>
      <c r="G285">
        <v>500</v>
      </c>
      <c r="H285" s="3" t="s">
        <v>710</v>
      </c>
      <c r="I285">
        <v>250</v>
      </c>
      <c r="J285">
        <v>3</v>
      </c>
    </row>
    <row r="286" spans="1:13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x14ac:dyDescent="0.25">
      <c r="F287" t="s">
        <v>646</v>
      </c>
    </row>
    <row r="288" spans="1:13" x14ac:dyDescent="0.25">
      <c r="F288" s="1" t="s">
        <v>647</v>
      </c>
      <c r="G288" s="1" t="s">
        <v>576</v>
      </c>
      <c r="H288" s="1" t="s">
        <v>648</v>
      </c>
      <c r="I288" s="1" t="s">
        <v>649</v>
      </c>
      <c r="J288" s="1" t="s">
        <v>650</v>
      </c>
      <c r="K288" s="1" t="s">
        <v>539</v>
      </c>
      <c r="L288" s="1" t="s">
        <v>651</v>
      </c>
      <c r="M288" s="1" t="s">
        <v>8</v>
      </c>
    </row>
    <row r="289" spans="1:13" x14ac:dyDescent="0.25">
      <c r="A289">
        <v>21</v>
      </c>
      <c r="B289" t="s">
        <v>652</v>
      </c>
      <c r="C289" t="s">
        <v>639</v>
      </c>
      <c r="D289" t="s">
        <v>653</v>
      </c>
      <c r="E289" t="s">
        <v>654</v>
      </c>
      <c r="F289" t="s">
        <v>655</v>
      </c>
      <c r="G289" t="s">
        <v>656</v>
      </c>
      <c r="H289" t="s">
        <v>657</v>
      </c>
      <c r="I289" t="s">
        <v>658</v>
      </c>
      <c r="J289" t="s">
        <v>659</v>
      </c>
      <c r="K289" t="s">
        <v>660</v>
      </c>
      <c r="L289" t="s">
        <v>330</v>
      </c>
      <c r="M289" t="s">
        <v>661</v>
      </c>
    </row>
    <row r="290" spans="1:13" x14ac:dyDescent="0.25">
      <c r="A290">
        <v>21</v>
      </c>
      <c r="B290" t="s">
        <v>652</v>
      </c>
      <c r="C290" t="s">
        <v>639</v>
      </c>
      <c r="D290" t="s">
        <v>653</v>
      </c>
      <c r="E290" t="s">
        <v>654</v>
      </c>
      <c r="F290" t="s">
        <v>662</v>
      </c>
      <c r="G290" t="s">
        <v>656</v>
      </c>
      <c r="H290" t="s">
        <v>663</v>
      </c>
      <c r="I290" t="s">
        <v>658</v>
      </c>
      <c r="J290" t="s">
        <v>664</v>
      </c>
      <c r="K290" t="s">
        <v>320</v>
      </c>
      <c r="L290" t="s">
        <v>330</v>
      </c>
      <c r="M290" t="s">
        <v>661</v>
      </c>
    </row>
    <row r="291" spans="1:13" x14ac:dyDescent="0.25">
      <c r="A291">
        <v>21</v>
      </c>
      <c r="B291" t="s">
        <v>652</v>
      </c>
      <c r="C291" t="s">
        <v>639</v>
      </c>
      <c r="D291" t="s">
        <v>653</v>
      </c>
      <c r="E291" t="s">
        <v>654</v>
      </c>
      <c r="F291" t="s">
        <v>665</v>
      </c>
      <c r="G291" t="s">
        <v>162</v>
      </c>
      <c r="H291" t="s">
        <v>658</v>
      </c>
      <c r="I291">
        <v>2</v>
      </c>
      <c r="J291" t="s">
        <v>658</v>
      </c>
      <c r="K291" t="s">
        <v>330</v>
      </c>
      <c r="L291" t="s">
        <v>327</v>
      </c>
      <c r="M291" t="s">
        <v>661</v>
      </c>
    </row>
    <row r="292" spans="1:13" x14ac:dyDescent="0.25">
      <c r="A292">
        <v>21</v>
      </c>
      <c r="B292" t="s">
        <v>652</v>
      </c>
      <c r="C292" t="s">
        <v>639</v>
      </c>
      <c r="D292" t="s">
        <v>653</v>
      </c>
      <c r="E292" t="s">
        <v>654</v>
      </c>
      <c r="F292" t="s">
        <v>666</v>
      </c>
      <c r="G292" t="s">
        <v>667</v>
      </c>
      <c r="H292" t="s">
        <v>668</v>
      </c>
      <c r="I292" t="s">
        <v>658</v>
      </c>
      <c r="J292" t="s">
        <v>658</v>
      </c>
      <c r="K292" t="s">
        <v>320</v>
      </c>
      <c r="L292" t="s">
        <v>658</v>
      </c>
      <c r="M292" t="s">
        <v>661</v>
      </c>
    </row>
    <row r="293" spans="1:13" x14ac:dyDescent="0.25">
      <c r="A293">
        <v>21</v>
      </c>
      <c r="B293" t="s">
        <v>652</v>
      </c>
      <c r="C293" t="s">
        <v>639</v>
      </c>
      <c r="D293" t="s">
        <v>653</v>
      </c>
      <c r="E293" t="s">
        <v>654</v>
      </c>
      <c r="F293" t="s">
        <v>669</v>
      </c>
      <c r="G293" t="s">
        <v>670</v>
      </c>
      <c r="H293" t="s">
        <v>663</v>
      </c>
      <c r="I293" t="s">
        <v>671</v>
      </c>
      <c r="J293" t="s">
        <v>664</v>
      </c>
      <c r="K293" t="s">
        <v>330</v>
      </c>
      <c r="L293" t="s">
        <v>330</v>
      </c>
      <c r="M293" t="s">
        <v>64</v>
      </c>
    </row>
    <row r="294" spans="1:13" x14ac:dyDescent="0.25">
      <c r="A294">
        <v>21</v>
      </c>
      <c r="B294" t="s">
        <v>652</v>
      </c>
      <c r="C294" t="s">
        <v>639</v>
      </c>
      <c r="D294" t="s">
        <v>653</v>
      </c>
      <c r="E294" t="s">
        <v>654</v>
      </c>
      <c r="F294" t="s">
        <v>672</v>
      </c>
      <c r="G294" t="s">
        <v>673</v>
      </c>
      <c r="H294" t="s">
        <v>658</v>
      </c>
      <c r="I294" t="s">
        <v>658</v>
      </c>
      <c r="J294" t="s">
        <v>658</v>
      </c>
      <c r="K294" t="s">
        <v>320</v>
      </c>
      <c r="L294" t="s">
        <v>330</v>
      </c>
      <c r="M294" t="s">
        <v>64</v>
      </c>
    </row>
    <row r="295" spans="1:13" x14ac:dyDescent="0.25">
      <c r="A295">
        <v>21</v>
      </c>
      <c r="B295" t="s">
        <v>652</v>
      </c>
      <c r="C295" t="s">
        <v>639</v>
      </c>
      <c r="D295" t="s">
        <v>653</v>
      </c>
      <c r="E295" t="s">
        <v>654</v>
      </c>
      <c r="F295" t="s">
        <v>674</v>
      </c>
      <c r="G295" t="s">
        <v>675</v>
      </c>
      <c r="H295" t="s">
        <v>658</v>
      </c>
      <c r="I295" t="s">
        <v>676</v>
      </c>
      <c r="J295" t="s">
        <v>658</v>
      </c>
      <c r="K295" t="s">
        <v>330</v>
      </c>
      <c r="L295" t="s">
        <v>327</v>
      </c>
      <c r="M295" t="s">
        <v>64</v>
      </c>
    </row>
    <row r="296" spans="1:13" x14ac:dyDescent="0.25">
      <c r="A296">
        <v>21</v>
      </c>
      <c r="B296" t="s">
        <v>652</v>
      </c>
      <c r="C296" t="s">
        <v>639</v>
      </c>
      <c r="D296" t="s">
        <v>653</v>
      </c>
      <c r="E296" t="s">
        <v>654</v>
      </c>
      <c r="F296" t="s">
        <v>677</v>
      </c>
      <c r="G296" t="s">
        <v>675</v>
      </c>
      <c r="H296" t="s">
        <v>678</v>
      </c>
      <c r="I296" t="s">
        <v>676</v>
      </c>
      <c r="J296" t="s">
        <v>664</v>
      </c>
      <c r="K296" t="s">
        <v>330</v>
      </c>
      <c r="L296" t="s">
        <v>330</v>
      </c>
      <c r="M296" t="s">
        <v>661</v>
      </c>
    </row>
    <row r="297" spans="1:13" x14ac:dyDescent="0.25">
      <c r="A297">
        <v>21</v>
      </c>
      <c r="B297" t="s">
        <v>652</v>
      </c>
      <c r="C297" t="s">
        <v>639</v>
      </c>
      <c r="D297" t="s">
        <v>653</v>
      </c>
      <c r="E297" t="s">
        <v>654</v>
      </c>
      <c r="F297" t="s">
        <v>679</v>
      </c>
      <c r="G297" t="s">
        <v>680</v>
      </c>
      <c r="H297" t="s">
        <v>681</v>
      </c>
      <c r="I297" t="s">
        <v>671</v>
      </c>
      <c r="J297" t="s">
        <v>659</v>
      </c>
      <c r="K297" t="s">
        <v>320</v>
      </c>
      <c r="L297" t="s">
        <v>658</v>
      </c>
      <c r="M297" t="s">
        <v>64</v>
      </c>
    </row>
    <row r="298" spans="1:13" x14ac:dyDescent="0.25">
      <c r="A298">
        <v>21</v>
      </c>
      <c r="B298" t="s">
        <v>652</v>
      </c>
      <c r="C298" t="s">
        <v>639</v>
      </c>
      <c r="D298" t="s">
        <v>653</v>
      </c>
      <c r="E298" t="s">
        <v>654</v>
      </c>
      <c r="F298" t="s">
        <v>682</v>
      </c>
      <c r="G298" t="s">
        <v>675</v>
      </c>
      <c r="H298" t="s">
        <v>658</v>
      </c>
      <c r="I298" t="s">
        <v>676</v>
      </c>
      <c r="J298" t="s">
        <v>658</v>
      </c>
      <c r="K298" t="s">
        <v>320</v>
      </c>
      <c r="L298" t="s">
        <v>658</v>
      </c>
      <c r="M298" t="s">
        <v>64</v>
      </c>
    </row>
    <row r="299" spans="1:13" x14ac:dyDescent="0.25">
      <c r="A299">
        <v>21</v>
      </c>
      <c r="B299" t="s">
        <v>652</v>
      </c>
      <c r="C299" t="s">
        <v>639</v>
      </c>
      <c r="D299" t="s">
        <v>653</v>
      </c>
      <c r="E299" t="s">
        <v>654</v>
      </c>
      <c r="F299" t="s">
        <v>683</v>
      </c>
      <c r="G299" t="s">
        <v>684</v>
      </c>
      <c r="H299" t="s">
        <v>685</v>
      </c>
      <c r="I299" t="s">
        <v>658</v>
      </c>
      <c r="J299" t="s">
        <v>664</v>
      </c>
      <c r="K299" t="s">
        <v>320</v>
      </c>
      <c r="L299" t="s">
        <v>658</v>
      </c>
      <c r="M299" t="s">
        <v>661</v>
      </c>
    </row>
    <row r="300" spans="1:13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x14ac:dyDescent="0.25">
      <c r="F301" t="s">
        <v>686</v>
      </c>
    </row>
    <row r="302" spans="1:13" x14ac:dyDescent="0.25">
      <c r="F302" s="1" t="s">
        <v>690</v>
      </c>
      <c r="G302" s="1" t="s">
        <v>8</v>
      </c>
      <c r="H302" s="1" t="s">
        <v>13</v>
      </c>
      <c r="I302" s="1" t="s">
        <v>691</v>
      </c>
      <c r="J302" s="1" t="s">
        <v>692</v>
      </c>
      <c r="K302" s="1" t="s">
        <v>575</v>
      </c>
    </row>
    <row r="303" spans="1:13" x14ac:dyDescent="0.25">
      <c r="A303">
        <v>22</v>
      </c>
      <c r="B303" t="s">
        <v>687</v>
      </c>
      <c r="C303" t="s">
        <v>688</v>
      </c>
      <c r="D303" t="s">
        <v>689</v>
      </c>
      <c r="E303" t="s">
        <v>545</v>
      </c>
      <c r="F303" t="s">
        <v>693</v>
      </c>
      <c r="G303" t="s">
        <v>172</v>
      </c>
      <c r="H303" t="s">
        <v>642</v>
      </c>
      <c r="I303" t="s">
        <v>694</v>
      </c>
      <c r="J303">
        <v>1</v>
      </c>
      <c r="K303" t="s">
        <v>695</v>
      </c>
    </row>
    <row r="304" spans="1:13" x14ac:dyDescent="0.25">
      <c r="A304">
        <v>22</v>
      </c>
      <c r="B304" t="s">
        <v>687</v>
      </c>
      <c r="C304" t="s">
        <v>688</v>
      </c>
      <c r="D304" t="s">
        <v>689</v>
      </c>
      <c r="E304" t="s">
        <v>545</v>
      </c>
      <c r="F304" t="s">
        <v>696</v>
      </c>
      <c r="G304" t="s">
        <v>35</v>
      </c>
      <c r="H304" t="s">
        <v>642</v>
      </c>
      <c r="I304" t="s">
        <v>697</v>
      </c>
      <c r="J304">
        <v>2</v>
      </c>
      <c r="K304" t="s">
        <v>698</v>
      </c>
    </row>
    <row r="305" spans="1:13" x14ac:dyDescent="0.25">
      <c r="A305">
        <v>22</v>
      </c>
      <c r="B305" t="s">
        <v>687</v>
      </c>
      <c r="C305" t="s">
        <v>688</v>
      </c>
      <c r="D305" t="s">
        <v>689</v>
      </c>
      <c r="E305" t="s">
        <v>545</v>
      </c>
      <c r="F305" t="s">
        <v>699</v>
      </c>
      <c r="G305" t="s">
        <v>474</v>
      </c>
      <c r="H305" t="s">
        <v>645</v>
      </c>
      <c r="I305" t="s">
        <v>700</v>
      </c>
      <c r="J305">
        <v>3</v>
      </c>
      <c r="K305" t="s">
        <v>701</v>
      </c>
    </row>
    <row r="306" spans="1:13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544C-F4B9-4240-8449-57A190788437}">
  <dimension ref="A1:T92"/>
  <sheetViews>
    <sheetView topLeftCell="A34" zoomScale="85" zoomScaleNormal="85" workbookViewId="0">
      <selection activeCell="I61" sqref="I61"/>
    </sheetView>
  </sheetViews>
  <sheetFormatPr defaultRowHeight="15" x14ac:dyDescent="0.25"/>
  <cols>
    <col min="1" max="1" width="3.42578125" customWidth="1"/>
    <col min="2" max="2" width="8.5703125" customWidth="1"/>
    <col min="3" max="3" width="5.140625" customWidth="1"/>
    <col min="4" max="4" width="47.42578125" customWidth="1"/>
    <col min="5" max="5" width="10.85546875" customWidth="1"/>
    <col min="6" max="20" width="20.7109375" customWidth="1"/>
  </cols>
  <sheetData>
    <row r="1" spans="1:16" x14ac:dyDescent="0.25">
      <c r="A1" s="7" t="s">
        <v>754</v>
      </c>
      <c r="E1" s="1"/>
    </row>
    <row r="2" spans="1:16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730</v>
      </c>
      <c r="F2" s="10" t="s">
        <v>803</v>
      </c>
      <c r="G2" s="10" t="s">
        <v>804</v>
      </c>
      <c r="H2" s="10" t="s">
        <v>805</v>
      </c>
      <c r="I2" s="10" t="s">
        <v>806</v>
      </c>
      <c r="J2" s="10" t="s">
        <v>807</v>
      </c>
      <c r="K2" s="10" t="s">
        <v>808</v>
      </c>
      <c r="L2" s="10" t="s">
        <v>809</v>
      </c>
      <c r="M2" s="10" t="s">
        <v>810</v>
      </c>
      <c r="N2" s="10" t="s">
        <v>811</v>
      </c>
      <c r="O2" s="10" t="s">
        <v>812</v>
      </c>
      <c r="P2" s="10" t="s">
        <v>813</v>
      </c>
    </row>
    <row r="3" spans="1:16" x14ac:dyDescent="0.25">
      <c r="A3">
        <v>1</v>
      </c>
      <c r="B3" t="s">
        <v>21</v>
      </c>
      <c r="C3" t="s">
        <v>22</v>
      </c>
      <c r="D3" t="s">
        <v>23</v>
      </c>
      <c r="E3" t="s">
        <v>24</v>
      </c>
      <c r="F3" s="1" t="s">
        <v>5</v>
      </c>
      <c r="G3" s="1" t="s">
        <v>691</v>
      </c>
      <c r="H3" s="1" t="s">
        <v>731</v>
      </c>
      <c r="I3" s="1" t="s">
        <v>9</v>
      </c>
      <c r="J3" s="1" t="s">
        <v>732</v>
      </c>
    </row>
    <row r="4" spans="1:16" x14ac:dyDescent="0.25">
      <c r="A4">
        <v>2</v>
      </c>
      <c r="B4" t="s">
        <v>36</v>
      </c>
      <c r="C4" t="s">
        <v>22</v>
      </c>
      <c r="D4" t="s">
        <v>37</v>
      </c>
      <c r="E4" t="s">
        <v>38</v>
      </c>
      <c r="F4" s="1" t="s">
        <v>5</v>
      </c>
      <c r="G4" s="1" t="s">
        <v>729</v>
      </c>
    </row>
    <row r="5" spans="1:16" x14ac:dyDescent="0.25">
      <c r="A5">
        <v>3</v>
      </c>
      <c r="B5" t="s">
        <v>56</v>
      </c>
      <c r="C5" t="s">
        <v>57</v>
      </c>
      <c r="D5" t="s">
        <v>58</v>
      </c>
      <c r="E5" t="s">
        <v>59</v>
      </c>
      <c r="F5" s="1" t="s">
        <v>725</v>
      </c>
      <c r="G5" s="1" t="s">
        <v>331</v>
      </c>
      <c r="H5" s="1" t="s">
        <v>8</v>
      </c>
      <c r="I5" s="1" t="s">
        <v>10</v>
      </c>
      <c r="J5" s="1" t="s">
        <v>12</v>
      </c>
      <c r="K5" s="1" t="s">
        <v>702</v>
      </c>
      <c r="L5" s="1" t="s">
        <v>14</v>
      </c>
      <c r="M5" s="1" t="s">
        <v>15</v>
      </c>
    </row>
    <row r="6" spans="1:16" x14ac:dyDescent="0.25">
      <c r="A6">
        <v>4</v>
      </c>
      <c r="B6" t="s">
        <v>70</v>
      </c>
      <c r="C6" t="s">
        <v>57</v>
      </c>
      <c r="D6" t="s">
        <v>71</v>
      </c>
      <c r="E6" t="s">
        <v>24</v>
      </c>
      <c r="F6" s="1" t="s">
        <v>308</v>
      </c>
      <c r="G6" s="1" t="s">
        <v>16</v>
      </c>
      <c r="H6" s="1" t="s">
        <v>575</v>
      </c>
    </row>
    <row r="7" spans="1:16" x14ac:dyDescent="0.25">
      <c r="A7">
        <v>5</v>
      </c>
      <c r="B7" t="s">
        <v>96</v>
      </c>
      <c r="C7" t="s">
        <v>57</v>
      </c>
      <c r="D7" t="s">
        <v>97</v>
      </c>
      <c r="E7" t="s">
        <v>98</v>
      </c>
      <c r="F7" s="1" t="s">
        <v>723</v>
      </c>
      <c r="G7" s="1" t="s">
        <v>17</v>
      </c>
      <c r="H7" s="1" t="s">
        <v>8</v>
      </c>
      <c r="I7" s="1" t="s">
        <v>6</v>
      </c>
      <c r="J7" s="1" t="s">
        <v>18</v>
      </c>
    </row>
    <row r="8" spans="1:16" x14ac:dyDescent="0.25">
      <c r="A8">
        <v>6</v>
      </c>
      <c r="B8" t="s">
        <v>112</v>
      </c>
      <c r="C8" t="s">
        <v>57</v>
      </c>
      <c r="D8" t="s">
        <v>113</v>
      </c>
      <c r="E8" t="s">
        <v>24</v>
      </c>
      <c r="F8" s="1" t="s">
        <v>721</v>
      </c>
      <c r="G8" s="1" t="s">
        <v>720</v>
      </c>
      <c r="H8" s="1" t="s">
        <v>8</v>
      </c>
      <c r="I8" s="1" t="s">
        <v>719</v>
      </c>
    </row>
    <row r="9" spans="1:16" x14ac:dyDescent="0.25">
      <c r="A9">
        <v>7</v>
      </c>
      <c r="B9" t="s">
        <v>143</v>
      </c>
      <c r="C9" t="s">
        <v>57</v>
      </c>
      <c r="D9" t="s">
        <v>144</v>
      </c>
      <c r="E9" t="s">
        <v>145</v>
      </c>
      <c r="F9" s="1" t="s">
        <v>608</v>
      </c>
      <c r="G9" s="1" t="s">
        <v>8</v>
      </c>
      <c r="H9" s="1" t="s">
        <v>13</v>
      </c>
      <c r="I9" s="1" t="s">
        <v>7</v>
      </c>
    </row>
    <row r="10" spans="1:16" x14ac:dyDescent="0.25">
      <c r="A10">
        <v>8</v>
      </c>
      <c r="B10" t="s">
        <v>157</v>
      </c>
      <c r="C10" t="s">
        <v>57</v>
      </c>
      <c r="D10" t="s">
        <v>158</v>
      </c>
      <c r="E10" t="s">
        <v>159</v>
      </c>
      <c r="F10" s="1" t="s">
        <v>718</v>
      </c>
      <c r="G10" s="1" t="s">
        <v>717</v>
      </c>
      <c r="H10" s="1" t="s">
        <v>8</v>
      </c>
      <c r="I10" s="1" t="s">
        <v>13</v>
      </c>
      <c r="J10" s="1" t="s">
        <v>7</v>
      </c>
      <c r="K10" s="1" t="s">
        <v>716</v>
      </c>
    </row>
    <row r="11" spans="1:16" x14ac:dyDescent="0.25">
      <c r="A11">
        <v>9</v>
      </c>
      <c r="B11" t="s">
        <v>222</v>
      </c>
      <c r="C11" t="s">
        <v>223</v>
      </c>
      <c r="D11" t="s">
        <v>224</v>
      </c>
      <c r="E11" t="s">
        <v>59</v>
      </c>
      <c r="F11" s="1" t="s">
        <v>734</v>
      </c>
      <c r="G11" s="1" t="s">
        <v>713</v>
      </c>
      <c r="H11" s="1" t="s">
        <v>712</v>
      </c>
      <c r="I11" s="1" t="s">
        <v>8</v>
      </c>
      <c r="J11" s="1" t="s">
        <v>711</v>
      </c>
      <c r="K11" s="1" t="s">
        <v>714</v>
      </c>
    </row>
    <row r="12" spans="1:16" x14ac:dyDescent="0.25">
      <c r="A12">
        <v>10</v>
      </c>
      <c r="B12" t="s">
        <v>233</v>
      </c>
      <c r="C12" t="s">
        <v>223</v>
      </c>
      <c r="D12" t="s">
        <v>234</v>
      </c>
      <c r="E12" t="s">
        <v>235</v>
      </c>
      <c r="F12" s="1" t="s">
        <v>704</v>
      </c>
      <c r="G12" s="1" t="s">
        <v>576</v>
      </c>
      <c r="H12" s="1" t="s">
        <v>8</v>
      </c>
      <c r="I12" s="1" t="s">
        <v>705</v>
      </c>
      <c r="J12" s="1" t="s">
        <v>13</v>
      </c>
      <c r="K12" s="1" t="s">
        <v>14</v>
      </c>
    </row>
    <row r="13" spans="1:16" x14ac:dyDescent="0.25">
      <c r="A13">
        <v>10</v>
      </c>
      <c r="B13" t="s">
        <v>233</v>
      </c>
      <c r="C13" t="s">
        <v>223</v>
      </c>
      <c r="D13" t="s">
        <v>234</v>
      </c>
      <c r="E13" t="s">
        <v>59</v>
      </c>
      <c r="F13" s="1" t="s">
        <v>5</v>
      </c>
      <c r="G13" s="1" t="s">
        <v>14</v>
      </c>
      <c r="H13" s="1" t="s">
        <v>702</v>
      </c>
    </row>
    <row r="14" spans="1:16" x14ac:dyDescent="0.25">
      <c r="A14">
        <v>11</v>
      </c>
      <c r="B14" t="s">
        <v>278</v>
      </c>
      <c r="C14" t="s">
        <v>279</v>
      </c>
      <c r="D14" t="s">
        <v>280</v>
      </c>
      <c r="E14" t="s">
        <v>59</v>
      </c>
      <c r="F14" s="1" t="s">
        <v>706</v>
      </c>
      <c r="G14" s="1" t="s">
        <v>19</v>
      </c>
      <c r="H14" s="1" t="s">
        <v>20</v>
      </c>
      <c r="I14" s="1" t="s">
        <v>576</v>
      </c>
      <c r="J14" s="1" t="s">
        <v>8</v>
      </c>
      <c r="K14" s="1" t="s">
        <v>13</v>
      </c>
      <c r="L14" s="1" t="s">
        <v>11</v>
      </c>
    </row>
    <row r="15" spans="1:16" x14ac:dyDescent="0.25">
      <c r="A15">
        <v>12</v>
      </c>
      <c r="B15" t="s">
        <v>312</v>
      </c>
      <c r="C15" t="s">
        <v>313</v>
      </c>
      <c r="D15" t="s">
        <v>314</v>
      </c>
      <c r="E15" t="s">
        <v>315</v>
      </c>
      <c r="F15" s="1" t="s">
        <v>308</v>
      </c>
      <c r="G15" s="1" t="s">
        <v>309</v>
      </c>
      <c r="H15" s="1" t="s">
        <v>310</v>
      </c>
      <c r="I15" s="1" t="s">
        <v>311</v>
      </c>
    </row>
    <row r="16" spans="1:16" x14ac:dyDescent="0.25">
      <c r="A16">
        <v>13</v>
      </c>
      <c r="B16" t="s">
        <v>335</v>
      </c>
      <c r="C16" t="s">
        <v>313</v>
      </c>
      <c r="D16" t="s">
        <v>336</v>
      </c>
      <c r="E16" t="s">
        <v>59</v>
      </c>
      <c r="F16" s="1" t="s">
        <v>331</v>
      </c>
      <c r="G16" s="1" t="s">
        <v>332</v>
      </c>
      <c r="H16" s="1" t="s">
        <v>333</v>
      </c>
      <c r="I16" s="1" t="s">
        <v>334</v>
      </c>
    </row>
    <row r="17" spans="1:16" x14ac:dyDescent="0.25">
      <c r="A17">
        <v>13</v>
      </c>
      <c r="B17" t="s">
        <v>335</v>
      </c>
      <c r="C17" t="s">
        <v>313</v>
      </c>
      <c r="D17" t="s">
        <v>336</v>
      </c>
      <c r="E17" t="s">
        <v>59</v>
      </c>
      <c r="F17" s="1" t="s">
        <v>353</v>
      </c>
      <c r="G17" s="1" t="s">
        <v>354</v>
      </c>
      <c r="H17" s="1" t="s">
        <v>333</v>
      </c>
      <c r="I17" s="1" t="s">
        <v>332</v>
      </c>
      <c r="J17" s="1"/>
    </row>
    <row r="18" spans="1:16" x14ac:dyDescent="0.25">
      <c r="A18">
        <v>13</v>
      </c>
      <c r="B18" t="s">
        <v>335</v>
      </c>
      <c r="C18" t="s">
        <v>313</v>
      </c>
      <c r="D18" t="s">
        <v>336</v>
      </c>
      <c r="E18" t="s">
        <v>337</v>
      </c>
      <c r="F18" s="1" t="s">
        <v>376</v>
      </c>
      <c r="G18" s="1" t="s">
        <v>332</v>
      </c>
      <c r="H18" s="1" t="s">
        <v>377</v>
      </c>
      <c r="I18" s="1" t="s">
        <v>378</v>
      </c>
      <c r="J18" s="1" t="s">
        <v>379</v>
      </c>
    </row>
    <row r="19" spans="1:16" x14ac:dyDescent="0.25">
      <c r="A19">
        <v>14</v>
      </c>
      <c r="B19" t="s">
        <v>400</v>
      </c>
      <c r="C19" t="s">
        <v>313</v>
      </c>
      <c r="D19" t="s">
        <v>401</v>
      </c>
      <c r="E19" t="s">
        <v>402</v>
      </c>
      <c r="F19" s="1" t="s">
        <v>4</v>
      </c>
      <c r="G19" s="1" t="s">
        <v>717</v>
      </c>
      <c r="H19" s="1" t="s">
        <v>8</v>
      </c>
      <c r="I19" s="1" t="s">
        <v>13</v>
      </c>
      <c r="J19" s="1" t="s">
        <v>408</v>
      </c>
      <c r="K19" s="1" t="s">
        <v>749</v>
      </c>
      <c r="L19" s="1" t="s">
        <v>750</v>
      </c>
      <c r="M19" s="1" t="s">
        <v>751</v>
      </c>
      <c r="N19" s="1" t="s">
        <v>752</v>
      </c>
      <c r="O19" s="1" t="s">
        <v>753</v>
      </c>
      <c r="P19" s="1" t="s">
        <v>713</v>
      </c>
    </row>
    <row r="20" spans="1:16" x14ac:dyDescent="0.25">
      <c r="A20">
        <v>15</v>
      </c>
      <c r="B20" t="s">
        <v>542</v>
      </c>
      <c r="C20" t="s">
        <v>543</v>
      </c>
      <c r="D20" t="s">
        <v>544</v>
      </c>
      <c r="E20" t="s">
        <v>545</v>
      </c>
      <c r="F20" s="1" t="s">
        <v>538</v>
      </c>
      <c r="G20" s="1" t="s">
        <v>539</v>
      </c>
      <c r="H20" s="1" t="s">
        <v>540</v>
      </c>
      <c r="I20" s="1" t="s">
        <v>541</v>
      </c>
    </row>
    <row r="21" spans="1:16" x14ac:dyDescent="0.25">
      <c r="A21">
        <v>15</v>
      </c>
      <c r="B21" t="s">
        <v>542</v>
      </c>
      <c r="C21" t="s">
        <v>543</v>
      </c>
      <c r="D21" t="s">
        <v>544</v>
      </c>
      <c r="E21" t="s">
        <v>562</v>
      </c>
      <c r="F21" s="1" t="s">
        <v>5</v>
      </c>
      <c r="G21" s="1" t="s">
        <v>560</v>
      </c>
      <c r="H21" s="1" t="s">
        <v>332</v>
      </c>
      <c r="I21" s="1" t="s">
        <v>561</v>
      </c>
    </row>
    <row r="22" spans="1:16" x14ac:dyDescent="0.25">
      <c r="A22">
        <v>16</v>
      </c>
      <c r="B22" t="s">
        <v>570</v>
      </c>
      <c r="C22" t="s">
        <v>543</v>
      </c>
      <c r="D22" t="s">
        <v>571</v>
      </c>
      <c r="E22" t="s">
        <v>59</v>
      </c>
      <c r="F22" s="1" t="s">
        <v>5</v>
      </c>
      <c r="G22" s="1" t="s">
        <v>333</v>
      </c>
      <c r="H22" s="1" t="s">
        <v>569</v>
      </c>
    </row>
    <row r="23" spans="1:16" x14ac:dyDescent="0.25">
      <c r="A23">
        <v>17</v>
      </c>
      <c r="B23" t="s">
        <v>577</v>
      </c>
      <c r="C23" t="s">
        <v>543</v>
      </c>
      <c r="D23" t="s">
        <v>578</v>
      </c>
      <c r="E23" t="s">
        <v>545</v>
      </c>
      <c r="F23" s="1" t="s">
        <v>575</v>
      </c>
      <c r="G23" s="1" t="s">
        <v>13</v>
      </c>
      <c r="H23" s="1" t="s">
        <v>8</v>
      </c>
      <c r="I23" s="1" t="s">
        <v>576</v>
      </c>
    </row>
    <row r="24" spans="1:16" x14ac:dyDescent="0.25">
      <c r="A24">
        <v>18</v>
      </c>
      <c r="B24" t="s">
        <v>589</v>
      </c>
      <c r="C24" t="s">
        <v>590</v>
      </c>
      <c r="D24" t="s">
        <v>591</v>
      </c>
      <c r="E24" t="s">
        <v>592</v>
      </c>
      <c r="F24" s="1" t="s">
        <v>735</v>
      </c>
      <c r="G24" s="1" t="s">
        <v>8</v>
      </c>
      <c r="H24" s="1" t="s">
        <v>595</v>
      </c>
      <c r="I24" s="1" t="s">
        <v>598</v>
      </c>
      <c r="J24" s="1" t="s">
        <v>14</v>
      </c>
      <c r="K24" s="1" t="s">
        <v>601</v>
      </c>
      <c r="L24" s="1" t="s">
        <v>604</v>
      </c>
    </row>
    <row r="25" spans="1:16" x14ac:dyDescent="0.25">
      <c r="A25">
        <v>19</v>
      </c>
      <c r="B25" t="s">
        <v>613</v>
      </c>
      <c r="C25" t="s">
        <v>614</v>
      </c>
      <c r="D25" t="s">
        <v>615</v>
      </c>
      <c r="E25" t="s">
        <v>616</v>
      </c>
      <c r="F25" s="1" t="s">
        <v>608</v>
      </c>
      <c r="G25" s="1" t="s">
        <v>609</v>
      </c>
      <c r="H25" s="1" t="s">
        <v>610</v>
      </c>
      <c r="I25" s="1" t="s">
        <v>611</v>
      </c>
      <c r="J25" s="1" t="s">
        <v>612</v>
      </c>
    </row>
    <row r="26" spans="1:16" x14ac:dyDescent="0.25">
      <c r="A26">
        <v>20</v>
      </c>
      <c r="B26" t="s">
        <v>638</v>
      </c>
      <c r="C26" t="s">
        <v>639</v>
      </c>
      <c r="D26" t="s">
        <v>640</v>
      </c>
      <c r="E26" t="s">
        <v>545</v>
      </c>
      <c r="F26" s="1" t="s">
        <v>748</v>
      </c>
      <c r="G26" s="1" t="s">
        <v>635</v>
      </c>
      <c r="H26" s="1" t="s">
        <v>13</v>
      </c>
      <c r="I26" s="1" t="s">
        <v>636</v>
      </c>
      <c r="J26" s="1" t="s">
        <v>637</v>
      </c>
    </row>
    <row r="27" spans="1:16" x14ac:dyDescent="0.25">
      <c r="A27">
        <v>21</v>
      </c>
      <c r="B27" t="s">
        <v>652</v>
      </c>
      <c r="C27" t="s">
        <v>639</v>
      </c>
      <c r="D27" t="s">
        <v>653</v>
      </c>
      <c r="E27" t="s">
        <v>654</v>
      </c>
      <c r="F27" s="1" t="s">
        <v>647</v>
      </c>
      <c r="G27" s="1" t="s">
        <v>576</v>
      </c>
      <c r="H27" s="1" t="s">
        <v>648</v>
      </c>
      <c r="I27" s="1" t="s">
        <v>649</v>
      </c>
      <c r="J27" s="1" t="s">
        <v>650</v>
      </c>
      <c r="K27" s="1" t="s">
        <v>539</v>
      </c>
      <c r="L27" s="1" t="s">
        <v>651</v>
      </c>
      <c r="M27" s="1" t="s">
        <v>8</v>
      </c>
    </row>
    <row r="28" spans="1:16" x14ac:dyDescent="0.25">
      <c r="A28">
        <v>22</v>
      </c>
      <c r="B28" t="s">
        <v>687</v>
      </c>
      <c r="C28" t="s">
        <v>688</v>
      </c>
      <c r="D28" t="s">
        <v>689</v>
      </c>
      <c r="E28" t="s">
        <v>545</v>
      </c>
      <c r="F28" s="1" t="s">
        <v>690</v>
      </c>
      <c r="G28" s="1" t="s">
        <v>8</v>
      </c>
      <c r="H28" s="1" t="s">
        <v>13</v>
      </c>
      <c r="I28" s="1" t="s">
        <v>691</v>
      </c>
      <c r="J28" s="1" t="s">
        <v>692</v>
      </c>
      <c r="K28" s="1" t="s">
        <v>575</v>
      </c>
    </row>
    <row r="30" spans="1:16" x14ac:dyDescent="0.25">
      <c r="A30" s="7" t="s">
        <v>1049</v>
      </c>
      <c r="E30" s="1"/>
    </row>
    <row r="31" spans="1:16" x14ac:dyDescent="0.25">
      <c r="A31" s="10" t="s">
        <v>0</v>
      </c>
      <c r="B31" s="10" t="s">
        <v>1</v>
      </c>
      <c r="C31" s="10" t="s">
        <v>2</v>
      </c>
      <c r="D31" s="10" t="s">
        <v>3</v>
      </c>
      <c r="E31" s="10" t="s">
        <v>730</v>
      </c>
      <c r="F31" s="10" t="s">
        <v>4</v>
      </c>
      <c r="G31" s="10" t="s">
        <v>755</v>
      </c>
      <c r="H31" s="10" t="s">
        <v>757</v>
      </c>
      <c r="I31" s="10" t="s">
        <v>8</v>
      </c>
      <c r="J31" s="10" t="s">
        <v>576</v>
      </c>
      <c r="K31" s="10" t="s">
        <v>13</v>
      </c>
      <c r="L31" s="10" t="s">
        <v>705</v>
      </c>
      <c r="M31" s="10" t="s">
        <v>598</v>
      </c>
      <c r="N31" s="10" t="s">
        <v>311</v>
      </c>
      <c r="O31" s="10" t="s">
        <v>756</v>
      </c>
    </row>
    <row r="32" spans="1:16" x14ac:dyDescent="0.25">
      <c r="A32">
        <v>1</v>
      </c>
      <c r="B32" t="s">
        <v>21</v>
      </c>
      <c r="C32" t="s">
        <v>22</v>
      </c>
      <c r="D32" t="s">
        <v>23</v>
      </c>
      <c r="E32" t="s">
        <v>24</v>
      </c>
      <c r="F32" s="7"/>
      <c r="G32" s="1" t="s">
        <v>5</v>
      </c>
      <c r="I32" s="1" t="s">
        <v>9</v>
      </c>
      <c r="J32" s="1" t="s">
        <v>731</v>
      </c>
      <c r="K32" s="1" t="s">
        <v>732</v>
      </c>
      <c r="M32" s="1" t="s">
        <v>691</v>
      </c>
    </row>
    <row r="33" spans="1:17" x14ac:dyDescent="0.25">
      <c r="A33">
        <v>2</v>
      </c>
      <c r="B33" t="s">
        <v>36</v>
      </c>
      <c r="C33" t="s">
        <v>22</v>
      </c>
      <c r="D33" t="s">
        <v>37</v>
      </c>
      <c r="E33" t="s">
        <v>38</v>
      </c>
      <c r="F33" s="7" t="s">
        <v>775</v>
      </c>
      <c r="G33" s="7"/>
      <c r="L33" s="1" t="s">
        <v>729</v>
      </c>
    </row>
    <row r="34" spans="1:17" x14ac:dyDescent="0.25">
      <c r="A34">
        <v>3</v>
      </c>
      <c r="B34" t="s">
        <v>56</v>
      </c>
      <c r="C34" t="s">
        <v>57</v>
      </c>
      <c r="D34" t="s">
        <v>58</v>
      </c>
      <c r="E34" t="s">
        <v>59</v>
      </c>
      <c r="F34" s="1" t="s">
        <v>725</v>
      </c>
      <c r="G34" s="7" t="s">
        <v>760</v>
      </c>
      <c r="I34" s="8" t="s">
        <v>766</v>
      </c>
      <c r="J34" s="1" t="s">
        <v>702</v>
      </c>
      <c r="K34" s="1" t="s">
        <v>12</v>
      </c>
      <c r="L34" s="8" t="s">
        <v>1135</v>
      </c>
    </row>
    <row r="35" spans="1:17" x14ac:dyDescent="0.25">
      <c r="A35">
        <v>4</v>
      </c>
      <c r="B35" t="s">
        <v>70</v>
      </c>
      <c r="C35" t="s">
        <v>57</v>
      </c>
      <c r="D35" t="s">
        <v>71</v>
      </c>
      <c r="E35" t="s">
        <v>24</v>
      </c>
      <c r="F35" s="7" t="s">
        <v>776</v>
      </c>
      <c r="H35" s="7" t="s">
        <v>778</v>
      </c>
      <c r="O35" s="1" t="s">
        <v>16</v>
      </c>
    </row>
    <row r="36" spans="1:17" x14ac:dyDescent="0.25">
      <c r="A36">
        <v>5</v>
      </c>
      <c r="B36" t="s">
        <v>96</v>
      </c>
      <c r="C36" t="s">
        <v>57</v>
      </c>
      <c r="D36" t="s">
        <v>97</v>
      </c>
      <c r="E36" t="s">
        <v>98</v>
      </c>
      <c r="H36" s="7" t="s">
        <v>777</v>
      </c>
      <c r="I36" s="1" t="s">
        <v>8</v>
      </c>
      <c r="J36" s="1" t="s">
        <v>6</v>
      </c>
      <c r="O36" s="1" t="s">
        <v>17</v>
      </c>
      <c r="P36" s="5" t="s">
        <v>18</v>
      </c>
    </row>
    <row r="37" spans="1:17" x14ac:dyDescent="0.25">
      <c r="A37">
        <v>6</v>
      </c>
      <c r="B37" t="s">
        <v>112</v>
      </c>
      <c r="C37" t="s">
        <v>57</v>
      </c>
      <c r="D37" t="s">
        <v>113</v>
      </c>
      <c r="E37" t="s">
        <v>24</v>
      </c>
      <c r="F37" s="7" t="s">
        <v>779</v>
      </c>
      <c r="G37" s="1" t="s">
        <v>720</v>
      </c>
      <c r="I37" s="8" t="s">
        <v>765</v>
      </c>
    </row>
    <row r="38" spans="1:17" x14ac:dyDescent="0.25">
      <c r="A38">
        <v>7</v>
      </c>
      <c r="B38" t="s">
        <v>143</v>
      </c>
      <c r="C38" t="s">
        <v>57</v>
      </c>
      <c r="D38" t="s">
        <v>144</v>
      </c>
      <c r="E38" t="s">
        <v>145</v>
      </c>
      <c r="G38" s="7" t="s">
        <v>780</v>
      </c>
      <c r="I38" s="1" t="s">
        <v>8</v>
      </c>
      <c r="J38" s="1" t="s">
        <v>7</v>
      </c>
      <c r="K38" s="1" t="s">
        <v>13</v>
      </c>
    </row>
    <row r="39" spans="1:17" x14ac:dyDescent="0.25">
      <c r="A39">
        <v>8</v>
      </c>
      <c r="B39" t="s">
        <v>157</v>
      </c>
      <c r="C39" t="s">
        <v>57</v>
      </c>
      <c r="D39" t="s">
        <v>158</v>
      </c>
      <c r="E39" t="s">
        <v>159</v>
      </c>
      <c r="F39" s="7" t="s">
        <v>758</v>
      </c>
      <c r="G39" s="1" t="s">
        <v>717</v>
      </c>
      <c r="I39" s="1" t="s">
        <v>8</v>
      </c>
      <c r="J39" s="1" t="s">
        <v>7</v>
      </c>
      <c r="K39" s="1" t="s">
        <v>13</v>
      </c>
      <c r="L39" s="1" t="s">
        <v>716</v>
      </c>
    </row>
    <row r="40" spans="1:17" x14ac:dyDescent="0.25">
      <c r="A40">
        <v>9</v>
      </c>
      <c r="B40" t="s">
        <v>222</v>
      </c>
      <c r="C40" t="s">
        <v>223</v>
      </c>
      <c r="D40" t="s">
        <v>224</v>
      </c>
      <c r="E40" t="s">
        <v>59</v>
      </c>
      <c r="G40" s="1" t="s">
        <v>734</v>
      </c>
      <c r="I40" s="1" t="s">
        <v>8</v>
      </c>
      <c r="J40" s="1" t="s">
        <v>712</v>
      </c>
      <c r="K40" s="1" t="s">
        <v>713</v>
      </c>
      <c r="L40" s="1" t="s">
        <v>1217</v>
      </c>
      <c r="M40" s="1" t="s">
        <v>711</v>
      </c>
    </row>
    <row r="41" spans="1:17" x14ac:dyDescent="0.25">
      <c r="A41">
        <v>10</v>
      </c>
      <c r="B41" t="s">
        <v>233</v>
      </c>
      <c r="C41" t="s">
        <v>223</v>
      </c>
      <c r="D41" t="s">
        <v>234</v>
      </c>
      <c r="E41" t="s">
        <v>235</v>
      </c>
      <c r="G41" s="7" t="s">
        <v>781</v>
      </c>
      <c r="I41" s="1" t="s">
        <v>8</v>
      </c>
      <c r="J41" s="1" t="s">
        <v>576</v>
      </c>
      <c r="K41" s="1" t="s">
        <v>13</v>
      </c>
      <c r="L41" s="8" t="s">
        <v>1136</v>
      </c>
    </row>
    <row r="42" spans="1:17" x14ac:dyDescent="0.25">
      <c r="A42">
        <v>10</v>
      </c>
      <c r="B42" t="s">
        <v>233</v>
      </c>
      <c r="C42" t="s">
        <v>223</v>
      </c>
      <c r="D42" t="s">
        <v>234</v>
      </c>
      <c r="E42" t="s">
        <v>59</v>
      </c>
      <c r="G42" s="7" t="s">
        <v>782</v>
      </c>
      <c r="J42" s="1" t="s">
        <v>702</v>
      </c>
      <c r="L42" s="1" t="s">
        <v>14</v>
      </c>
    </row>
    <row r="43" spans="1:17" x14ac:dyDescent="0.25">
      <c r="A43">
        <v>11</v>
      </c>
      <c r="B43" t="s">
        <v>278</v>
      </c>
      <c r="C43" t="s">
        <v>279</v>
      </c>
      <c r="D43" t="s">
        <v>280</v>
      </c>
      <c r="E43" t="s">
        <v>59</v>
      </c>
      <c r="H43" s="1" t="s">
        <v>706</v>
      </c>
      <c r="I43" s="1" t="s">
        <v>8</v>
      </c>
      <c r="J43" s="1" t="s">
        <v>576</v>
      </c>
      <c r="K43" s="8" t="s">
        <v>770</v>
      </c>
      <c r="O43" s="5" t="s">
        <v>19</v>
      </c>
      <c r="P43" s="5" t="s">
        <v>20</v>
      </c>
    </row>
    <row r="44" spans="1:17" x14ac:dyDescent="0.25">
      <c r="A44">
        <v>12</v>
      </c>
      <c r="B44" t="s">
        <v>312</v>
      </c>
      <c r="C44" t="s">
        <v>313</v>
      </c>
      <c r="D44" t="s">
        <v>314</v>
      </c>
      <c r="E44" t="s">
        <v>315</v>
      </c>
      <c r="H44" s="1" t="s">
        <v>308</v>
      </c>
      <c r="I44" s="7" t="s">
        <v>773</v>
      </c>
      <c r="J44" s="7" t="s">
        <v>772</v>
      </c>
      <c r="N44" s="1" t="s">
        <v>311</v>
      </c>
      <c r="O44" s="1" t="s">
        <v>309</v>
      </c>
    </row>
    <row r="45" spans="1:17" x14ac:dyDescent="0.25">
      <c r="A45">
        <v>13</v>
      </c>
      <c r="B45" t="s">
        <v>335</v>
      </c>
      <c r="C45" t="s">
        <v>313</v>
      </c>
      <c r="D45" t="s">
        <v>336</v>
      </c>
      <c r="E45" t="s">
        <v>59</v>
      </c>
      <c r="G45" s="1" t="s">
        <v>334</v>
      </c>
      <c r="I45" s="1" t="s">
        <v>333</v>
      </c>
      <c r="K45" s="1" t="s">
        <v>332</v>
      </c>
      <c r="O45" s="5" t="s">
        <v>331</v>
      </c>
    </row>
    <row r="46" spans="1:17" x14ac:dyDescent="0.25">
      <c r="A46">
        <v>13</v>
      </c>
      <c r="B46" t="s">
        <v>335</v>
      </c>
      <c r="C46" t="s">
        <v>313</v>
      </c>
      <c r="D46" t="s">
        <v>336</v>
      </c>
      <c r="E46" t="s">
        <v>59</v>
      </c>
      <c r="G46" s="1" t="s">
        <v>353</v>
      </c>
      <c r="H46" s="1" t="s">
        <v>354</v>
      </c>
      <c r="I46" s="1" t="s">
        <v>333</v>
      </c>
      <c r="K46" s="1" t="s">
        <v>332</v>
      </c>
    </row>
    <row r="47" spans="1:17" x14ac:dyDescent="0.25">
      <c r="A47">
        <v>13</v>
      </c>
      <c r="B47" t="s">
        <v>335</v>
      </c>
      <c r="C47" t="s">
        <v>313</v>
      </c>
      <c r="D47" t="s">
        <v>336</v>
      </c>
      <c r="E47" t="s">
        <v>337</v>
      </c>
      <c r="G47" s="1" t="s">
        <v>376</v>
      </c>
      <c r="I47" s="1" t="s">
        <v>377</v>
      </c>
      <c r="J47" s="1" t="s">
        <v>379</v>
      </c>
      <c r="K47" s="1" t="s">
        <v>332</v>
      </c>
      <c r="M47" s="1" t="s">
        <v>378</v>
      </c>
    </row>
    <row r="48" spans="1:17" x14ac:dyDescent="0.25">
      <c r="A48">
        <v>14</v>
      </c>
      <c r="B48" t="s">
        <v>400</v>
      </c>
      <c r="C48" t="s">
        <v>313</v>
      </c>
      <c r="D48" t="s">
        <v>401</v>
      </c>
      <c r="E48" t="s">
        <v>402</v>
      </c>
      <c r="F48" s="1" t="s">
        <v>4</v>
      </c>
      <c r="G48" s="1" t="s">
        <v>717</v>
      </c>
      <c r="I48" s="1" t="s">
        <v>8</v>
      </c>
      <c r="J48" s="1" t="s">
        <v>408</v>
      </c>
      <c r="K48" s="8" t="s">
        <v>768</v>
      </c>
      <c r="L48" s="8" t="s">
        <v>767</v>
      </c>
      <c r="O48" s="5" t="s">
        <v>751</v>
      </c>
      <c r="P48" s="5" t="s">
        <v>752</v>
      </c>
      <c r="Q48" s="5" t="s">
        <v>753</v>
      </c>
    </row>
    <row r="49" spans="1:16" x14ac:dyDescent="0.25">
      <c r="A49">
        <v>15</v>
      </c>
      <c r="B49" t="s">
        <v>542</v>
      </c>
      <c r="C49" t="s">
        <v>543</v>
      </c>
      <c r="D49" t="s">
        <v>544</v>
      </c>
      <c r="E49" t="s">
        <v>545</v>
      </c>
      <c r="G49" s="1" t="s">
        <v>538</v>
      </c>
      <c r="L49" s="7" t="s">
        <v>761</v>
      </c>
      <c r="N49" s="8" t="s">
        <v>771</v>
      </c>
    </row>
    <row r="50" spans="1:16" x14ac:dyDescent="0.25">
      <c r="A50">
        <v>15</v>
      </c>
      <c r="B50" t="s">
        <v>542</v>
      </c>
      <c r="C50" t="s">
        <v>543</v>
      </c>
      <c r="D50" t="s">
        <v>544</v>
      </c>
      <c r="E50" t="s">
        <v>562</v>
      </c>
      <c r="G50" s="1" t="s">
        <v>5</v>
      </c>
      <c r="I50" s="1" t="s">
        <v>560</v>
      </c>
      <c r="J50" s="1" t="s">
        <v>561</v>
      </c>
      <c r="K50" s="1" t="s">
        <v>332</v>
      </c>
    </row>
    <row r="51" spans="1:16" x14ac:dyDescent="0.25">
      <c r="A51">
        <v>16</v>
      </c>
      <c r="B51" t="s">
        <v>570</v>
      </c>
      <c r="C51" t="s">
        <v>543</v>
      </c>
      <c r="D51" t="s">
        <v>571</v>
      </c>
      <c r="E51" t="s">
        <v>59</v>
      </c>
      <c r="G51" s="1" t="s">
        <v>5</v>
      </c>
      <c r="I51" s="1" t="s">
        <v>333</v>
      </c>
      <c r="K51" s="1" t="s">
        <v>569</v>
      </c>
    </row>
    <row r="52" spans="1:16" x14ac:dyDescent="0.25">
      <c r="A52">
        <v>17</v>
      </c>
      <c r="B52" t="s">
        <v>577</v>
      </c>
      <c r="C52" t="s">
        <v>543</v>
      </c>
      <c r="D52" t="s">
        <v>578</v>
      </c>
      <c r="E52" t="s">
        <v>545</v>
      </c>
      <c r="G52" s="1" t="s">
        <v>575</v>
      </c>
      <c r="I52" s="1" t="s">
        <v>8</v>
      </c>
      <c r="J52" s="1" t="s">
        <v>576</v>
      </c>
      <c r="K52" s="1" t="s">
        <v>13</v>
      </c>
    </row>
    <row r="53" spans="1:16" x14ac:dyDescent="0.25">
      <c r="A53">
        <v>18</v>
      </c>
      <c r="B53" t="s">
        <v>589</v>
      </c>
      <c r="C53" t="s">
        <v>590</v>
      </c>
      <c r="D53" t="s">
        <v>591</v>
      </c>
      <c r="E53" t="s">
        <v>592</v>
      </c>
      <c r="G53" s="1" t="s">
        <v>735</v>
      </c>
      <c r="I53" s="1" t="s">
        <v>8</v>
      </c>
      <c r="J53" s="1" t="s">
        <v>595</v>
      </c>
      <c r="L53" s="1" t="s">
        <v>14</v>
      </c>
      <c r="M53" s="1" t="s">
        <v>598</v>
      </c>
      <c r="O53" s="1" t="s">
        <v>601</v>
      </c>
      <c r="P53" s="1" t="s">
        <v>604</v>
      </c>
    </row>
    <row r="54" spans="1:16" x14ac:dyDescent="0.25">
      <c r="A54">
        <v>19</v>
      </c>
      <c r="B54" t="s">
        <v>613</v>
      </c>
      <c r="C54" t="s">
        <v>614</v>
      </c>
      <c r="D54" t="s">
        <v>615</v>
      </c>
      <c r="E54" t="s">
        <v>616</v>
      </c>
      <c r="G54" s="1" t="s">
        <v>608</v>
      </c>
      <c r="I54" s="1" t="s">
        <v>611</v>
      </c>
      <c r="J54" s="8" t="s">
        <v>762</v>
      </c>
      <c r="O54" s="1" t="s">
        <v>612</v>
      </c>
    </row>
    <row r="55" spans="1:16" x14ac:dyDescent="0.25">
      <c r="A55">
        <v>20</v>
      </c>
      <c r="B55" t="s">
        <v>638</v>
      </c>
      <c r="C55" t="s">
        <v>639</v>
      </c>
      <c r="D55" t="s">
        <v>640</v>
      </c>
      <c r="E55" t="s">
        <v>545</v>
      </c>
      <c r="G55" s="1" t="s">
        <v>748</v>
      </c>
      <c r="I55" s="1" t="s">
        <v>635</v>
      </c>
      <c r="K55" s="1" t="s">
        <v>13</v>
      </c>
      <c r="M55" s="1" t="s">
        <v>636</v>
      </c>
      <c r="O55" s="5" t="s">
        <v>637</v>
      </c>
    </row>
    <row r="56" spans="1:16" x14ac:dyDescent="0.25">
      <c r="A56">
        <v>21</v>
      </c>
      <c r="B56" t="s">
        <v>652</v>
      </c>
      <c r="C56" t="s">
        <v>639</v>
      </c>
      <c r="D56" t="s">
        <v>653</v>
      </c>
      <c r="E56" t="s">
        <v>654</v>
      </c>
      <c r="G56" s="7" t="s">
        <v>759</v>
      </c>
      <c r="I56" s="1" t="s">
        <v>8</v>
      </c>
      <c r="J56" s="8" t="s">
        <v>769</v>
      </c>
      <c r="L56" s="1" t="s">
        <v>649</v>
      </c>
      <c r="N56" s="1" t="s">
        <v>539</v>
      </c>
      <c r="O56" s="1" t="s">
        <v>651</v>
      </c>
      <c r="P56" s="5" t="s">
        <v>650</v>
      </c>
    </row>
    <row r="57" spans="1:16" x14ac:dyDescent="0.25">
      <c r="A57">
        <v>22</v>
      </c>
      <c r="B57" t="s">
        <v>687</v>
      </c>
      <c r="C57" t="s">
        <v>688</v>
      </c>
      <c r="D57" t="s">
        <v>689</v>
      </c>
      <c r="E57" t="s">
        <v>545</v>
      </c>
      <c r="G57" s="1" t="s">
        <v>575</v>
      </c>
      <c r="I57" s="1" t="s">
        <v>8</v>
      </c>
      <c r="K57" s="1" t="s">
        <v>13</v>
      </c>
      <c r="M57" s="1" t="s">
        <v>691</v>
      </c>
      <c r="O57" s="5" t="s">
        <v>690</v>
      </c>
      <c r="P57" s="5" t="s">
        <v>692</v>
      </c>
    </row>
    <row r="59" spans="1:16" x14ac:dyDescent="0.25">
      <c r="D59" s="1" t="s">
        <v>764</v>
      </c>
    </row>
    <row r="60" spans="1:16" x14ac:dyDescent="0.25">
      <c r="D60" t="s">
        <v>848</v>
      </c>
      <c r="I60" s="1" t="s">
        <v>1219</v>
      </c>
      <c r="J60" s="1" t="s">
        <v>1220</v>
      </c>
      <c r="K60" s="1" t="s">
        <v>1218</v>
      </c>
      <c r="L60" s="1" t="s">
        <v>1221</v>
      </c>
      <c r="M60" s="1" t="s">
        <v>774</v>
      </c>
      <c r="N60" s="1" t="s">
        <v>1222</v>
      </c>
      <c r="O60" s="1" t="s">
        <v>1218</v>
      </c>
    </row>
    <row r="61" spans="1:16" x14ac:dyDescent="0.25">
      <c r="D61" s="9" t="s">
        <v>791</v>
      </c>
      <c r="I61" t="s">
        <v>756</v>
      </c>
      <c r="J61" t="s">
        <v>311</v>
      </c>
      <c r="K61" t="s">
        <v>598</v>
      </c>
      <c r="L61" t="s">
        <v>705</v>
      </c>
      <c r="M61" t="s">
        <v>13</v>
      </c>
      <c r="N61" t="s">
        <v>576</v>
      </c>
      <c r="O61" t="s">
        <v>8</v>
      </c>
      <c r="P61" t="s">
        <v>1223</v>
      </c>
    </row>
    <row r="62" spans="1:16" x14ac:dyDescent="0.25">
      <c r="D62" s="6" t="s">
        <v>1224</v>
      </c>
      <c r="I62">
        <v>18</v>
      </c>
      <c r="J62">
        <v>4</v>
      </c>
      <c r="K62">
        <v>6</v>
      </c>
      <c r="L62">
        <v>13</v>
      </c>
      <c r="M62">
        <v>18</v>
      </c>
      <c r="N62">
        <v>19</v>
      </c>
      <c r="O62">
        <v>24</v>
      </c>
      <c r="P62">
        <f>SUM(I62:O62)</f>
        <v>102</v>
      </c>
    </row>
    <row r="63" spans="1:16" x14ac:dyDescent="0.25">
      <c r="D63" s="7" t="s">
        <v>1213</v>
      </c>
    </row>
    <row r="65" spans="1:19" x14ac:dyDescent="0.25">
      <c r="A65" s="7" t="s">
        <v>1056</v>
      </c>
    </row>
    <row r="66" spans="1:19" x14ac:dyDescent="0.25">
      <c r="A66" s="10" t="s">
        <v>0</v>
      </c>
      <c r="B66" s="10" t="s">
        <v>1</v>
      </c>
      <c r="C66" s="10" t="s">
        <v>2</v>
      </c>
      <c r="D66" s="10" t="s">
        <v>3</v>
      </c>
      <c r="E66" s="10" t="s">
        <v>730</v>
      </c>
      <c r="F66" s="35" t="s">
        <v>1057</v>
      </c>
      <c r="G66" s="34" t="s">
        <v>8</v>
      </c>
      <c r="H66" s="33" t="s">
        <v>576</v>
      </c>
      <c r="I66" s="10" t="s">
        <v>13</v>
      </c>
      <c r="M66" s="1"/>
      <c r="N66" s="1"/>
      <c r="O66" s="1"/>
      <c r="P66" s="1"/>
      <c r="Q66" s="1"/>
      <c r="R66" s="1"/>
    </row>
    <row r="67" spans="1:19" x14ac:dyDescent="0.25">
      <c r="A67">
        <v>1</v>
      </c>
      <c r="B67" t="s">
        <v>21</v>
      </c>
      <c r="C67" t="s">
        <v>22</v>
      </c>
      <c r="D67" t="s">
        <v>23</v>
      </c>
      <c r="E67" t="s">
        <v>24</v>
      </c>
      <c r="F67" t="s">
        <v>1048</v>
      </c>
      <c r="G67" s="32" t="s">
        <v>1051</v>
      </c>
      <c r="H67" s="31" t="s">
        <v>731</v>
      </c>
      <c r="I67" s="32" t="s">
        <v>1050</v>
      </c>
      <c r="M67" s="31"/>
      <c r="N67" s="23"/>
      <c r="O67" s="23"/>
      <c r="P67" s="23"/>
      <c r="Q67" s="23"/>
    </row>
    <row r="68" spans="1:19" x14ac:dyDescent="0.25">
      <c r="A68">
        <v>2</v>
      </c>
      <c r="B68" t="s">
        <v>36</v>
      </c>
      <c r="C68" t="s">
        <v>22</v>
      </c>
      <c r="D68" t="s">
        <v>37</v>
      </c>
      <c r="E68" t="s">
        <v>38</v>
      </c>
      <c r="F68" t="s">
        <v>1048</v>
      </c>
      <c r="G68" s="23"/>
      <c r="H68" s="23"/>
      <c r="I68" s="23"/>
      <c r="M68" s="23"/>
      <c r="N68" s="31"/>
      <c r="O68" s="23"/>
      <c r="P68" s="23"/>
      <c r="Q68" s="23"/>
    </row>
    <row r="69" spans="1:19" x14ac:dyDescent="0.25">
      <c r="A69">
        <v>3</v>
      </c>
      <c r="B69" t="s">
        <v>56</v>
      </c>
      <c r="C69" t="s">
        <v>57</v>
      </c>
      <c r="D69" t="s">
        <v>58</v>
      </c>
      <c r="E69" t="s">
        <v>59</v>
      </c>
      <c r="F69" t="s">
        <v>1048</v>
      </c>
      <c r="G69" s="32" t="s">
        <v>1067</v>
      </c>
      <c r="H69" s="31" t="s">
        <v>702</v>
      </c>
      <c r="I69" s="31" t="s">
        <v>12</v>
      </c>
      <c r="M69" s="23"/>
      <c r="N69" s="31"/>
      <c r="O69" s="31"/>
      <c r="P69" s="23"/>
      <c r="Q69" s="31"/>
    </row>
    <row r="70" spans="1:19" x14ac:dyDescent="0.25">
      <c r="A70">
        <v>4</v>
      </c>
      <c r="B70" t="s">
        <v>70</v>
      </c>
      <c r="C70" t="s">
        <v>57</v>
      </c>
      <c r="D70" t="s">
        <v>71</v>
      </c>
      <c r="E70" t="s">
        <v>24</v>
      </c>
      <c r="G70" s="23"/>
      <c r="H70" s="23"/>
      <c r="I70" s="23"/>
      <c r="M70" s="23"/>
      <c r="N70" s="23"/>
      <c r="O70" s="23"/>
      <c r="P70" s="23"/>
      <c r="Q70" s="31"/>
    </row>
    <row r="71" spans="1:19" x14ac:dyDescent="0.25">
      <c r="A71">
        <v>5</v>
      </c>
      <c r="B71" t="s">
        <v>96</v>
      </c>
      <c r="C71" t="s">
        <v>57</v>
      </c>
      <c r="D71" t="s">
        <v>97</v>
      </c>
      <c r="E71" t="s">
        <v>98</v>
      </c>
      <c r="F71" t="s">
        <v>1048</v>
      </c>
      <c r="G71" s="32" t="s">
        <v>8</v>
      </c>
      <c r="H71" s="1" t="s">
        <v>6</v>
      </c>
      <c r="I71" s="23"/>
      <c r="M71" s="23"/>
      <c r="N71" s="23"/>
      <c r="O71" s="23"/>
      <c r="P71" s="23"/>
      <c r="Q71" s="31"/>
      <c r="R71" s="1"/>
    </row>
    <row r="72" spans="1:19" x14ac:dyDescent="0.25">
      <c r="A72">
        <v>6</v>
      </c>
      <c r="B72" t="s">
        <v>112</v>
      </c>
      <c r="C72" t="s">
        <v>57</v>
      </c>
      <c r="D72" t="s">
        <v>113</v>
      </c>
      <c r="E72" t="s">
        <v>24</v>
      </c>
      <c r="F72" t="s">
        <v>1048</v>
      </c>
      <c r="G72" s="32" t="s">
        <v>1061</v>
      </c>
      <c r="H72" s="23"/>
      <c r="I72" s="23"/>
      <c r="M72" s="23"/>
      <c r="N72" s="23"/>
      <c r="O72" s="23"/>
      <c r="P72" s="23"/>
      <c r="Q72" s="31"/>
    </row>
    <row r="73" spans="1:19" x14ac:dyDescent="0.25">
      <c r="A73">
        <v>7</v>
      </c>
      <c r="B73" t="s">
        <v>143</v>
      </c>
      <c r="C73" t="s">
        <v>57</v>
      </c>
      <c r="D73" t="s">
        <v>144</v>
      </c>
      <c r="E73" t="s">
        <v>145</v>
      </c>
      <c r="F73" t="s">
        <v>1048</v>
      </c>
      <c r="G73" s="32" t="s">
        <v>8</v>
      </c>
      <c r="H73" s="32" t="s">
        <v>1053</v>
      </c>
      <c r="I73" s="32" t="s">
        <v>13</v>
      </c>
      <c r="M73" s="23"/>
      <c r="N73" s="23"/>
      <c r="O73" s="23"/>
      <c r="P73" s="23"/>
      <c r="Q73" s="23"/>
    </row>
    <row r="74" spans="1:19" x14ac:dyDescent="0.25">
      <c r="A74">
        <v>8</v>
      </c>
      <c r="B74" t="s">
        <v>157</v>
      </c>
      <c r="C74" t="s">
        <v>57</v>
      </c>
      <c r="D74" t="s">
        <v>158</v>
      </c>
      <c r="E74" t="s">
        <v>159</v>
      </c>
      <c r="F74" t="s">
        <v>1048</v>
      </c>
      <c r="G74" s="32" t="s">
        <v>8</v>
      </c>
      <c r="H74" s="32" t="s">
        <v>1053</v>
      </c>
      <c r="I74" s="32" t="s">
        <v>13</v>
      </c>
      <c r="M74" s="23"/>
      <c r="N74" s="23"/>
      <c r="O74" s="31"/>
      <c r="P74" s="23"/>
      <c r="Q74" s="23"/>
    </row>
    <row r="75" spans="1:19" x14ac:dyDescent="0.25">
      <c r="A75">
        <v>9</v>
      </c>
      <c r="B75" t="s">
        <v>222</v>
      </c>
      <c r="C75" t="s">
        <v>223</v>
      </c>
      <c r="D75" t="s">
        <v>224</v>
      </c>
      <c r="E75" t="s">
        <v>59</v>
      </c>
      <c r="F75" t="s">
        <v>1048</v>
      </c>
      <c r="G75" s="32" t="s">
        <v>8</v>
      </c>
      <c r="H75" s="31" t="s">
        <v>712</v>
      </c>
      <c r="I75" s="31" t="s">
        <v>713</v>
      </c>
      <c r="M75" s="31"/>
      <c r="N75" s="23"/>
      <c r="O75" s="31"/>
      <c r="P75" s="23"/>
      <c r="Q75" s="23"/>
    </row>
    <row r="76" spans="1:19" x14ac:dyDescent="0.25">
      <c r="A76">
        <v>10</v>
      </c>
      <c r="B76" t="s">
        <v>233</v>
      </c>
      <c r="C76" t="s">
        <v>223</v>
      </c>
      <c r="D76" t="s">
        <v>234</v>
      </c>
      <c r="E76" t="s">
        <v>235</v>
      </c>
      <c r="F76" t="s">
        <v>1048</v>
      </c>
      <c r="G76" s="32" t="s">
        <v>8</v>
      </c>
      <c r="H76" s="32" t="s">
        <v>576</v>
      </c>
      <c r="I76" s="32" t="s">
        <v>13</v>
      </c>
      <c r="M76" s="23"/>
      <c r="N76" s="31"/>
      <c r="O76" s="31"/>
      <c r="P76" s="23"/>
      <c r="Q76" s="23"/>
    </row>
    <row r="77" spans="1:19" x14ac:dyDescent="0.25">
      <c r="A77">
        <v>10</v>
      </c>
      <c r="B77" t="s">
        <v>233</v>
      </c>
      <c r="C77" t="s">
        <v>223</v>
      </c>
      <c r="D77" t="s">
        <v>234</v>
      </c>
      <c r="E77" t="s">
        <v>59</v>
      </c>
      <c r="F77" t="s">
        <v>1048</v>
      </c>
      <c r="G77" s="23"/>
      <c r="H77" s="31" t="s">
        <v>702</v>
      </c>
      <c r="I77" s="23"/>
      <c r="M77" s="23"/>
      <c r="N77" s="31"/>
      <c r="O77" s="23"/>
      <c r="P77" s="23"/>
      <c r="Q77" s="23"/>
    </row>
    <row r="78" spans="1:19" x14ac:dyDescent="0.25">
      <c r="A78">
        <v>11</v>
      </c>
      <c r="B78" t="s">
        <v>278</v>
      </c>
      <c r="C78" t="s">
        <v>279</v>
      </c>
      <c r="D78" t="s">
        <v>280</v>
      </c>
      <c r="E78" t="s">
        <v>59</v>
      </c>
      <c r="F78" t="s">
        <v>1048</v>
      </c>
      <c r="G78" s="32" t="s">
        <v>8</v>
      </c>
      <c r="H78" s="32" t="s">
        <v>576</v>
      </c>
      <c r="I78" s="31" t="s">
        <v>1052</v>
      </c>
      <c r="M78" s="23"/>
      <c r="N78" s="23"/>
      <c r="O78" s="23"/>
      <c r="P78" s="23"/>
      <c r="Q78" s="31"/>
      <c r="R78" s="1"/>
      <c r="S78" s="1"/>
    </row>
    <row r="79" spans="1:19" x14ac:dyDescent="0.25">
      <c r="A79">
        <v>12</v>
      </c>
      <c r="B79" t="s">
        <v>312</v>
      </c>
      <c r="C79" t="s">
        <v>313</v>
      </c>
      <c r="D79" t="s">
        <v>314</v>
      </c>
      <c r="E79" t="s">
        <v>315</v>
      </c>
      <c r="F79" t="s">
        <v>1048</v>
      </c>
      <c r="G79" s="32" t="s">
        <v>8</v>
      </c>
      <c r="H79" s="7" t="s">
        <v>1054</v>
      </c>
      <c r="I79" s="23"/>
      <c r="M79" s="23"/>
      <c r="N79" s="23"/>
      <c r="O79" s="23"/>
      <c r="P79" s="31"/>
      <c r="Q79" s="23"/>
      <c r="R79" s="1"/>
    </row>
    <row r="80" spans="1:19" x14ac:dyDescent="0.25">
      <c r="A80">
        <v>13</v>
      </c>
      <c r="B80" t="s">
        <v>335</v>
      </c>
      <c r="C80" t="s">
        <v>313</v>
      </c>
      <c r="D80" t="s">
        <v>336</v>
      </c>
      <c r="E80" t="s">
        <v>59</v>
      </c>
      <c r="F80" t="s">
        <v>1048</v>
      </c>
      <c r="G80" s="32" t="s">
        <v>333</v>
      </c>
      <c r="H80" s="23"/>
      <c r="I80" s="32" t="s">
        <v>332</v>
      </c>
      <c r="M80" s="23"/>
      <c r="N80" s="23"/>
      <c r="O80" s="23"/>
      <c r="P80" s="23"/>
      <c r="Q80" s="23"/>
      <c r="R80" s="1"/>
    </row>
    <row r="81" spans="1:20" x14ac:dyDescent="0.25">
      <c r="A81">
        <v>13</v>
      </c>
      <c r="B81" t="s">
        <v>335</v>
      </c>
      <c r="C81" t="s">
        <v>313</v>
      </c>
      <c r="D81" t="s">
        <v>336</v>
      </c>
      <c r="E81" t="s">
        <v>59</v>
      </c>
      <c r="F81" t="s">
        <v>1048</v>
      </c>
      <c r="G81" s="32" t="s">
        <v>333</v>
      </c>
      <c r="H81" s="23"/>
      <c r="I81" s="32" t="s">
        <v>332</v>
      </c>
      <c r="M81" s="23"/>
      <c r="N81" s="23"/>
      <c r="O81" s="23"/>
      <c r="P81" s="23"/>
      <c r="Q81" s="23"/>
    </row>
    <row r="82" spans="1:20" x14ac:dyDescent="0.25">
      <c r="A82">
        <v>13</v>
      </c>
      <c r="B82" t="s">
        <v>335</v>
      </c>
      <c r="C82" t="s">
        <v>313</v>
      </c>
      <c r="D82" t="s">
        <v>336</v>
      </c>
      <c r="E82" t="s">
        <v>337</v>
      </c>
      <c r="F82" t="s">
        <v>1048</v>
      </c>
      <c r="G82" s="32" t="s">
        <v>377</v>
      </c>
      <c r="H82" s="31" t="s">
        <v>379</v>
      </c>
      <c r="I82" s="32" t="s">
        <v>332</v>
      </c>
      <c r="M82" s="31"/>
      <c r="N82" s="23"/>
      <c r="O82" s="23"/>
      <c r="P82" s="23"/>
      <c r="Q82" s="23"/>
    </row>
    <row r="83" spans="1:20" x14ac:dyDescent="0.25">
      <c r="A83">
        <v>14</v>
      </c>
      <c r="B83" t="s">
        <v>400</v>
      </c>
      <c r="C83" t="s">
        <v>313</v>
      </c>
      <c r="D83" t="s">
        <v>401</v>
      </c>
      <c r="E83" t="s">
        <v>402</v>
      </c>
      <c r="F83" t="s">
        <v>1048</v>
      </c>
      <c r="G83" s="32" t="s">
        <v>8</v>
      </c>
      <c r="H83" s="32" t="s">
        <v>408</v>
      </c>
      <c r="I83" s="31" t="s">
        <v>1055</v>
      </c>
      <c r="M83" s="23"/>
      <c r="N83" s="23"/>
      <c r="O83" s="31"/>
      <c r="P83" s="23"/>
      <c r="Q83" s="31"/>
      <c r="R83" s="1"/>
      <c r="S83" s="1"/>
      <c r="T83" s="1"/>
    </row>
    <row r="84" spans="1:20" x14ac:dyDescent="0.25">
      <c r="A84">
        <v>15</v>
      </c>
      <c r="B84" t="s">
        <v>542</v>
      </c>
      <c r="C84" t="s">
        <v>543</v>
      </c>
      <c r="D84" t="s">
        <v>544</v>
      </c>
      <c r="E84" t="s">
        <v>545</v>
      </c>
      <c r="G84" s="23"/>
      <c r="H84" s="23"/>
      <c r="I84" s="23"/>
      <c r="M84" s="23"/>
      <c r="N84" s="31"/>
      <c r="O84" s="23"/>
      <c r="P84" s="31"/>
      <c r="Q84" s="23"/>
    </row>
    <row r="85" spans="1:20" x14ac:dyDescent="0.25">
      <c r="A85">
        <v>15</v>
      </c>
      <c r="B85" t="s">
        <v>542</v>
      </c>
      <c r="C85" t="s">
        <v>543</v>
      </c>
      <c r="D85" t="s">
        <v>544</v>
      </c>
      <c r="E85" t="s">
        <v>562</v>
      </c>
      <c r="F85" t="s">
        <v>1048</v>
      </c>
      <c r="G85" s="32" t="s">
        <v>560</v>
      </c>
      <c r="H85" s="32" t="s">
        <v>561</v>
      </c>
      <c r="I85" s="32" t="s">
        <v>332</v>
      </c>
      <c r="M85" s="23"/>
      <c r="N85" s="23"/>
      <c r="O85" s="23"/>
      <c r="P85" s="23"/>
      <c r="Q85" s="23"/>
    </row>
    <row r="86" spans="1:20" x14ac:dyDescent="0.25">
      <c r="A86">
        <v>16</v>
      </c>
      <c r="B86" t="s">
        <v>570</v>
      </c>
      <c r="C86" t="s">
        <v>543</v>
      </c>
      <c r="D86" t="s">
        <v>571</v>
      </c>
      <c r="E86" t="s">
        <v>59</v>
      </c>
      <c r="F86" t="s">
        <v>1048</v>
      </c>
      <c r="G86" s="32" t="s">
        <v>333</v>
      </c>
      <c r="H86" s="23"/>
      <c r="I86" s="31" t="s">
        <v>569</v>
      </c>
      <c r="M86" s="23"/>
      <c r="N86" s="23"/>
      <c r="O86" s="23"/>
      <c r="P86" s="23"/>
      <c r="Q86" s="23"/>
    </row>
    <row r="87" spans="1:20" x14ac:dyDescent="0.25">
      <c r="A87">
        <v>17</v>
      </c>
      <c r="B87" t="s">
        <v>577</v>
      </c>
      <c r="C87" t="s">
        <v>543</v>
      </c>
      <c r="D87" t="s">
        <v>578</v>
      </c>
      <c r="E87" t="s">
        <v>545</v>
      </c>
      <c r="F87" t="s">
        <v>1048</v>
      </c>
      <c r="G87" s="32" t="s">
        <v>8</v>
      </c>
      <c r="H87" s="32" t="s">
        <v>576</v>
      </c>
      <c r="I87" s="32" t="s">
        <v>13</v>
      </c>
      <c r="M87" s="23"/>
      <c r="N87" s="23"/>
      <c r="O87" s="23"/>
      <c r="P87" s="23"/>
      <c r="Q87" s="23"/>
    </row>
    <row r="88" spans="1:20" x14ac:dyDescent="0.25">
      <c r="A88">
        <v>18</v>
      </c>
      <c r="B88" t="s">
        <v>589</v>
      </c>
      <c r="C88" t="s">
        <v>590</v>
      </c>
      <c r="D88" t="s">
        <v>591</v>
      </c>
      <c r="E88" t="s">
        <v>592</v>
      </c>
      <c r="F88" t="s">
        <v>1048</v>
      </c>
      <c r="G88" s="32" t="s">
        <v>8</v>
      </c>
      <c r="H88" s="31" t="s">
        <v>595</v>
      </c>
      <c r="I88" s="23"/>
      <c r="M88" s="31"/>
      <c r="N88" s="31"/>
      <c r="O88" s="23"/>
      <c r="P88" s="23"/>
      <c r="Q88" s="23"/>
      <c r="R88" s="1"/>
      <c r="S88" s="1"/>
    </row>
    <row r="89" spans="1:20" x14ac:dyDescent="0.25">
      <c r="A89">
        <v>19</v>
      </c>
      <c r="B89" t="s">
        <v>613</v>
      </c>
      <c r="C89" t="s">
        <v>614</v>
      </c>
      <c r="D89" t="s">
        <v>615</v>
      </c>
      <c r="E89" t="s">
        <v>616</v>
      </c>
      <c r="F89" t="s">
        <v>1048</v>
      </c>
      <c r="G89" s="32" t="s">
        <v>1058</v>
      </c>
      <c r="H89" s="32" t="s">
        <v>1059</v>
      </c>
      <c r="I89" s="23"/>
      <c r="M89" s="23"/>
      <c r="N89" s="23"/>
      <c r="O89" s="23"/>
      <c r="P89" s="23"/>
      <c r="Q89" s="23"/>
      <c r="R89" s="1"/>
    </row>
    <row r="90" spans="1:20" x14ac:dyDescent="0.25">
      <c r="A90">
        <v>20</v>
      </c>
      <c r="B90" t="s">
        <v>638</v>
      </c>
      <c r="C90" t="s">
        <v>639</v>
      </c>
      <c r="D90" t="s">
        <v>640</v>
      </c>
      <c r="E90" t="s">
        <v>545</v>
      </c>
      <c r="F90" t="s">
        <v>1048</v>
      </c>
      <c r="G90" s="32" t="s">
        <v>635</v>
      </c>
      <c r="H90" s="23"/>
      <c r="I90" s="32" t="s">
        <v>13</v>
      </c>
      <c r="M90" s="31"/>
      <c r="N90" s="23"/>
      <c r="O90" s="23"/>
      <c r="P90" s="23"/>
      <c r="Q90" s="23"/>
      <c r="R90" s="1"/>
    </row>
    <row r="91" spans="1:20" x14ac:dyDescent="0.25">
      <c r="A91">
        <v>21</v>
      </c>
      <c r="B91" t="s">
        <v>652</v>
      </c>
      <c r="C91" t="s">
        <v>639</v>
      </c>
      <c r="D91" t="s">
        <v>653</v>
      </c>
      <c r="E91" t="s">
        <v>654</v>
      </c>
      <c r="F91" t="s">
        <v>1048</v>
      </c>
      <c r="G91" s="32" t="s">
        <v>8</v>
      </c>
      <c r="H91" s="31" t="s">
        <v>1060</v>
      </c>
      <c r="I91" s="23"/>
      <c r="M91" s="23"/>
      <c r="N91" s="23"/>
      <c r="O91" s="31"/>
      <c r="P91" s="31"/>
      <c r="Q91" s="31"/>
      <c r="S91" s="1"/>
    </row>
    <row r="92" spans="1:20" x14ac:dyDescent="0.25">
      <c r="A92">
        <v>22</v>
      </c>
      <c r="B92" t="s">
        <v>687</v>
      </c>
      <c r="C92" t="s">
        <v>688</v>
      </c>
      <c r="D92" t="s">
        <v>689</v>
      </c>
      <c r="E92" t="s">
        <v>545</v>
      </c>
      <c r="F92" t="s">
        <v>1048</v>
      </c>
      <c r="G92" s="32" t="s">
        <v>8</v>
      </c>
      <c r="I92" s="32" t="s">
        <v>13</v>
      </c>
      <c r="M92" s="1"/>
      <c r="R92" s="1"/>
      <c r="S9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3B5D-D923-4085-8E88-D94BD0A8315A}">
  <dimension ref="B1:C9"/>
  <sheetViews>
    <sheetView zoomScaleNormal="100" workbookViewId="0"/>
  </sheetViews>
  <sheetFormatPr defaultRowHeight="15" x14ac:dyDescent="0.25"/>
  <cols>
    <col min="2" max="2" width="26.42578125" customWidth="1"/>
    <col min="3" max="3" width="56.85546875" customWidth="1"/>
  </cols>
  <sheetData>
    <row r="1" spans="2:3" x14ac:dyDescent="0.25">
      <c r="B1" s="1" t="s">
        <v>814</v>
      </c>
    </row>
    <row r="2" spans="2:3" x14ac:dyDescent="0.25">
      <c r="B2" s="1" t="s">
        <v>4</v>
      </c>
      <c r="C2" s="1" t="s">
        <v>815</v>
      </c>
    </row>
    <row r="3" spans="2:3" ht="80.099999999999994" customHeight="1" x14ac:dyDescent="0.25">
      <c r="B3" t="s">
        <v>788</v>
      </c>
      <c r="C3" s="15" t="s">
        <v>819</v>
      </c>
    </row>
    <row r="4" spans="2:3" ht="80.099999999999994" customHeight="1" x14ac:dyDescent="0.25">
      <c r="B4" t="s">
        <v>790</v>
      </c>
      <c r="C4" s="15" t="s">
        <v>820</v>
      </c>
    </row>
    <row r="5" spans="2:3" ht="80.099999999999994" customHeight="1" x14ac:dyDescent="0.25">
      <c r="B5" t="s">
        <v>789</v>
      </c>
      <c r="C5" s="15" t="s">
        <v>818</v>
      </c>
    </row>
    <row r="6" spans="2:3" ht="80.099999999999994" customHeight="1" x14ac:dyDescent="0.25">
      <c r="B6" t="s">
        <v>744</v>
      </c>
      <c r="C6" s="15" t="s">
        <v>816</v>
      </c>
    </row>
    <row r="7" spans="2:3" ht="80.099999999999994" customHeight="1" x14ac:dyDescent="0.25">
      <c r="B7" t="s">
        <v>785</v>
      </c>
      <c r="C7" s="15" t="s">
        <v>857</v>
      </c>
    </row>
    <row r="8" spans="2:3" ht="80.099999999999994" customHeight="1" x14ac:dyDescent="0.25">
      <c r="B8" t="s">
        <v>787</v>
      </c>
      <c r="C8" s="15" t="s">
        <v>817</v>
      </c>
    </row>
    <row r="9" spans="2:3" ht="80.099999999999994" customHeight="1" x14ac:dyDescent="0.25">
      <c r="B9" t="s">
        <v>786</v>
      </c>
      <c r="C9" s="15" t="s">
        <v>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DBC3-C291-43C1-9861-6E0C38F96D30}">
  <dimension ref="A1:Y278"/>
  <sheetViews>
    <sheetView zoomScaleNormal="100" workbookViewId="0">
      <pane ySplit="1" topLeftCell="A2" activePane="bottomLeft" state="frozen"/>
      <selection pane="bottomLeft" activeCell="H35" sqref="H35"/>
    </sheetView>
  </sheetViews>
  <sheetFormatPr defaultRowHeight="15" x14ac:dyDescent="0.25"/>
  <cols>
    <col min="1" max="1" width="3.42578125" customWidth="1"/>
    <col min="2" max="2" width="8.5703125" customWidth="1"/>
    <col min="3" max="3" width="5.140625" customWidth="1"/>
    <col min="4" max="4" width="15.7109375" customWidth="1"/>
    <col min="5" max="6" width="10.85546875" customWidth="1"/>
    <col min="7" max="23" width="15.71093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730</v>
      </c>
      <c r="F1" s="1" t="s">
        <v>736</v>
      </c>
      <c r="G1" s="1" t="s">
        <v>4</v>
      </c>
      <c r="H1" s="1"/>
      <c r="I1" s="7"/>
      <c r="J1" s="1" t="s">
        <v>8</v>
      </c>
      <c r="L1" s="1" t="s">
        <v>13</v>
      </c>
      <c r="N1" s="1" t="s">
        <v>576</v>
      </c>
      <c r="P1" s="1" t="s">
        <v>598</v>
      </c>
      <c r="Q1" s="1" t="s">
        <v>705</v>
      </c>
      <c r="R1" s="1"/>
      <c r="S1" s="1" t="s">
        <v>311</v>
      </c>
      <c r="U1" s="1" t="s">
        <v>756</v>
      </c>
      <c r="V1" s="1" t="s">
        <v>792</v>
      </c>
      <c r="W1" s="1" t="s">
        <v>763</v>
      </c>
    </row>
    <row r="2" spans="1: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730</v>
      </c>
      <c r="F2" s="1" t="s">
        <v>736</v>
      </c>
      <c r="G2" s="7" t="s">
        <v>4</v>
      </c>
      <c r="H2" s="1" t="s">
        <v>5</v>
      </c>
      <c r="I2" s="7"/>
      <c r="J2" s="1" t="s">
        <v>9</v>
      </c>
      <c r="L2" s="1" t="s">
        <v>732</v>
      </c>
      <c r="N2" s="1" t="s">
        <v>731</v>
      </c>
      <c r="P2" s="1" t="s">
        <v>691</v>
      </c>
    </row>
    <row r="3" spans="1:25" x14ac:dyDescent="0.25">
      <c r="A3">
        <v>1</v>
      </c>
      <c r="B3" t="s">
        <v>21</v>
      </c>
      <c r="C3" t="s">
        <v>22</v>
      </c>
      <c r="D3" t="s">
        <v>23</v>
      </c>
      <c r="E3" t="s">
        <v>24</v>
      </c>
      <c r="F3" t="s">
        <v>27</v>
      </c>
      <c r="G3" s="12" t="s">
        <v>788</v>
      </c>
      <c r="H3" t="s">
        <v>25</v>
      </c>
      <c r="J3" t="s">
        <v>29</v>
      </c>
      <c r="L3" t="s">
        <v>30</v>
      </c>
      <c r="N3" t="s">
        <v>28</v>
      </c>
      <c r="P3" t="s">
        <v>26</v>
      </c>
    </row>
    <row r="4" spans="1:25" x14ac:dyDescent="0.25">
      <c r="A4">
        <v>1</v>
      </c>
      <c r="B4" t="s">
        <v>21</v>
      </c>
      <c r="C4" t="s">
        <v>22</v>
      </c>
      <c r="D4" t="s">
        <v>23</v>
      </c>
      <c r="E4" t="s">
        <v>24</v>
      </c>
      <c r="F4" t="s">
        <v>27</v>
      </c>
      <c r="G4" s="12" t="s">
        <v>788</v>
      </c>
      <c r="H4" t="s">
        <v>733</v>
      </c>
      <c r="J4" t="s">
        <v>31</v>
      </c>
      <c r="L4" t="s">
        <v>30</v>
      </c>
      <c r="N4" t="s">
        <v>28</v>
      </c>
      <c r="P4" t="s">
        <v>26</v>
      </c>
    </row>
    <row r="5" spans="1:25" x14ac:dyDescent="0.25">
      <c r="A5">
        <v>1</v>
      </c>
      <c r="B5" t="s">
        <v>21</v>
      </c>
      <c r="C5" t="s">
        <v>22</v>
      </c>
      <c r="D5" t="s">
        <v>23</v>
      </c>
      <c r="E5" t="s">
        <v>24</v>
      </c>
      <c r="F5" t="s">
        <v>27</v>
      </c>
      <c r="G5" s="12" t="s">
        <v>788</v>
      </c>
      <c r="H5" t="s">
        <v>32</v>
      </c>
      <c r="J5" t="s">
        <v>33</v>
      </c>
      <c r="L5" t="s">
        <v>30</v>
      </c>
      <c r="N5" t="s">
        <v>28</v>
      </c>
      <c r="P5" t="s">
        <v>26</v>
      </c>
    </row>
    <row r="6" spans="1:25" x14ac:dyDescent="0.25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27</v>
      </c>
      <c r="G6" s="12" t="s">
        <v>788</v>
      </c>
      <c r="H6" t="s">
        <v>800</v>
      </c>
      <c r="J6" t="s">
        <v>35</v>
      </c>
      <c r="L6" t="s">
        <v>30</v>
      </c>
      <c r="N6" t="s">
        <v>28</v>
      </c>
      <c r="P6" t="s">
        <v>26</v>
      </c>
    </row>
    <row r="7" spans="1:2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730</v>
      </c>
      <c r="F8" s="1" t="s">
        <v>736</v>
      </c>
      <c r="G8" s="7" t="s">
        <v>4</v>
      </c>
      <c r="Q8" s="1" t="s">
        <v>729</v>
      </c>
      <c r="V8" s="1" t="s">
        <v>5</v>
      </c>
    </row>
    <row r="9" spans="1:25" x14ac:dyDescent="0.25">
      <c r="A9">
        <v>2</v>
      </c>
      <c r="B9" t="s">
        <v>36</v>
      </c>
      <c r="C9" t="s">
        <v>22</v>
      </c>
      <c r="D9" t="s">
        <v>37</v>
      </c>
      <c r="E9" t="s">
        <v>38</v>
      </c>
      <c r="F9" t="s">
        <v>27</v>
      </c>
      <c r="G9" s="12" t="s">
        <v>788</v>
      </c>
      <c r="Q9" t="s">
        <v>40</v>
      </c>
      <c r="V9" t="s">
        <v>39</v>
      </c>
    </row>
    <row r="10" spans="1:25" x14ac:dyDescent="0.25">
      <c r="A10">
        <v>2</v>
      </c>
      <c r="B10" t="s">
        <v>36</v>
      </c>
      <c r="C10" t="s">
        <v>22</v>
      </c>
      <c r="D10" t="s">
        <v>37</v>
      </c>
      <c r="E10" t="s">
        <v>38</v>
      </c>
      <c r="F10" t="s">
        <v>27</v>
      </c>
      <c r="G10" s="12" t="s">
        <v>789</v>
      </c>
      <c r="Q10" t="s">
        <v>42</v>
      </c>
      <c r="V10" t="s">
        <v>41</v>
      </c>
    </row>
    <row r="11" spans="1:25" x14ac:dyDescent="0.25">
      <c r="A11">
        <v>2</v>
      </c>
      <c r="B11" t="s">
        <v>36</v>
      </c>
      <c r="C11" t="s">
        <v>22</v>
      </c>
      <c r="D11" t="s">
        <v>37</v>
      </c>
      <c r="E11" t="s">
        <v>38</v>
      </c>
      <c r="F11" t="s">
        <v>27</v>
      </c>
      <c r="G11" s="12" t="s">
        <v>789</v>
      </c>
      <c r="Q11" t="s">
        <v>44</v>
      </c>
      <c r="V11" t="s">
        <v>43</v>
      </c>
    </row>
    <row r="12" spans="1:25" x14ac:dyDescent="0.25">
      <c r="A12">
        <v>2</v>
      </c>
      <c r="B12" t="s">
        <v>36</v>
      </c>
      <c r="C12" t="s">
        <v>22</v>
      </c>
      <c r="D12" t="s">
        <v>37</v>
      </c>
      <c r="E12" t="s">
        <v>38</v>
      </c>
      <c r="F12" t="s">
        <v>27</v>
      </c>
      <c r="G12" s="12" t="s">
        <v>788</v>
      </c>
      <c r="Q12" t="s">
        <v>46</v>
      </c>
      <c r="V12" t="s">
        <v>45</v>
      </c>
    </row>
    <row r="13" spans="1:25" x14ac:dyDescent="0.25">
      <c r="A13">
        <v>2</v>
      </c>
      <c r="B13" t="s">
        <v>36</v>
      </c>
      <c r="C13" t="s">
        <v>22</v>
      </c>
      <c r="D13" t="s">
        <v>37</v>
      </c>
      <c r="E13" t="s">
        <v>38</v>
      </c>
      <c r="F13" t="s">
        <v>27</v>
      </c>
      <c r="G13" s="12" t="s">
        <v>789</v>
      </c>
      <c r="Q13" t="s">
        <v>48</v>
      </c>
      <c r="V13" t="s">
        <v>47</v>
      </c>
    </row>
    <row r="14" spans="1:25" x14ac:dyDescent="0.25">
      <c r="A14">
        <v>2</v>
      </c>
      <c r="B14" t="s">
        <v>36</v>
      </c>
      <c r="C14" t="s">
        <v>22</v>
      </c>
      <c r="D14" t="s">
        <v>37</v>
      </c>
      <c r="E14" t="s">
        <v>38</v>
      </c>
      <c r="F14" t="s">
        <v>27</v>
      </c>
      <c r="G14" s="12" t="s">
        <v>789</v>
      </c>
      <c r="Q14" t="s">
        <v>50</v>
      </c>
      <c r="V14" t="s">
        <v>49</v>
      </c>
    </row>
    <row r="15" spans="1:25" x14ac:dyDescent="0.25">
      <c r="A15">
        <v>2</v>
      </c>
      <c r="B15" t="s">
        <v>36</v>
      </c>
      <c r="C15" t="s">
        <v>22</v>
      </c>
      <c r="D15" t="s">
        <v>37</v>
      </c>
      <c r="E15" t="s">
        <v>38</v>
      </c>
      <c r="F15" t="s">
        <v>27</v>
      </c>
      <c r="G15" s="12" t="s">
        <v>744</v>
      </c>
      <c r="Q15" t="s">
        <v>52</v>
      </c>
      <c r="V15" t="s">
        <v>51</v>
      </c>
    </row>
    <row r="16" spans="1:25" x14ac:dyDescent="0.25">
      <c r="A16">
        <v>2</v>
      </c>
      <c r="B16" t="s">
        <v>36</v>
      </c>
      <c r="C16" t="s">
        <v>22</v>
      </c>
      <c r="D16" t="s">
        <v>37</v>
      </c>
      <c r="E16" t="s">
        <v>38</v>
      </c>
      <c r="F16" t="s">
        <v>27</v>
      </c>
      <c r="G16" s="12" t="s">
        <v>744</v>
      </c>
      <c r="Q16" t="s">
        <v>54</v>
      </c>
      <c r="V16" t="s">
        <v>53</v>
      </c>
    </row>
    <row r="17" spans="1:25" x14ac:dyDescent="0.25">
      <c r="A17" s="6">
        <v>2</v>
      </c>
      <c r="B17" s="6" t="s">
        <v>36</v>
      </c>
      <c r="C17" s="6" t="s">
        <v>22</v>
      </c>
      <c r="D17" s="6" t="s">
        <v>37</v>
      </c>
      <c r="E17" s="6" t="s">
        <v>38</v>
      </c>
      <c r="F17" s="6" t="s">
        <v>27</v>
      </c>
      <c r="G17" s="13" t="s">
        <v>744</v>
      </c>
      <c r="H17" s="6"/>
      <c r="I17" s="6"/>
      <c r="J17" s="6"/>
      <c r="K17" s="6"/>
      <c r="L17" s="6"/>
      <c r="M17" s="6"/>
      <c r="N17" s="6"/>
      <c r="O17" s="6"/>
      <c r="P17" s="6"/>
      <c r="Q17" s="6" t="s">
        <v>52</v>
      </c>
      <c r="R17" s="6"/>
      <c r="S17" s="6"/>
      <c r="T17" s="6"/>
      <c r="U17" s="6"/>
      <c r="V17" s="6" t="s">
        <v>55</v>
      </c>
      <c r="W17" s="6" t="s">
        <v>866</v>
      </c>
    </row>
    <row r="18" spans="1:2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730</v>
      </c>
      <c r="F19" s="1" t="s">
        <v>736</v>
      </c>
      <c r="G19" s="7" t="s">
        <v>4</v>
      </c>
      <c r="H19" s="1" t="s">
        <v>331</v>
      </c>
      <c r="J19" s="1" t="s">
        <v>8</v>
      </c>
      <c r="K19" s="1" t="s">
        <v>10</v>
      </c>
      <c r="L19" s="1" t="s">
        <v>12</v>
      </c>
      <c r="N19" s="1" t="s">
        <v>702</v>
      </c>
      <c r="Q19" s="1" t="s">
        <v>14</v>
      </c>
      <c r="R19" s="1" t="s">
        <v>15</v>
      </c>
      <c r="V19" s="1" t="s">
        <v>725</v>
      </c>
    </row>
    <row r="20" spans="1:25" x14ac:dyDescent="0.25">
      <c r="A20">
        <v>3</v>
      </c>
      <c r="B20" t="s">
        <v>56</v>
      </c>
      <c r="C20" t="s">
        <v>57</v>
      </c>
      <c r="D20" t="s">
        <v>58</v>
      </c>
      <c r="E20" t="s">
        <v>59</v>
      </c>
      <c r="F20" t="s">
        <v>726</v>
      </c>
      <c r="G20" s="12" t="s">
        <v>788</v>
      </c>
      <c r="H20" t="s">
        <v>579</v>
      </c>
      <c r="J20" t="s">
        <v>61</v>
      </c>
      <c r="K20" t="s">
        <v>27</v>
      </c>
      <c r="L20" t="s">
        <v>62</v>
      </c>
      <c r="N20" t="s">
        <v>60</v>
      </c>
      <c r="Q20" t="s">
        <v>63</v>
      </c>
      <c r="R20" t="s">
        <v>727</v>
      </c>
      <c r="V20" t="s">
        <v>745</v>
      </c>
    </row>
    <row r="21" spans="1:25" x14ac:dyDescent="0.25">
      <c r="A21">
        <v>3</v>
      </c>
      <c r="B21" t="s">
        <v>56</v>
      </c>
      <c r="C21" t="s">
        <v>57</v>
      </c>
      <c r="D21" t="s">
        <v>58</v>
      </c>
      <c r="E21" t="s">
        <v>59</v>
      </c>
      <c r="F21" t="s">
        <v>726</v>
      </c>
      <c r="G21" s="12" t="s">
        <v>788</v>
      </c>
      <c r="H21" t="s">
        <v>747</v>
      </c>
      <c r="J21" t="s">
        <v>65</v>
      </c>
      <c r="K21" t="s">
        <v>27</v>
      </c>
      <c r="L21" t="s">
        <v>66</v>
      </c>
      <c r="N21" t="s">
        <v>64</v>
      </c>
      <c r="Q21" t="s">
        <v>63</v>
      </c>
      <c r="R21" t="s">
        <v>728</v>
      </c>
      <c r="V21" t="s">
        <v>745</v>
      </c>
    </row>
    <row r="22" spans="1:25" x14ac:dyDescent="0.25">
      <c r="A22">
        <v>3</v>
      </c>
      <c r="B22" t="s">
        <v>56</v>
      </c>
      <c r="C22" t="s">
        <v>57</v>
      </c>
      <c r="D22" t="s">
        <v>58</v>
      </c>
      <c r="E22" t="s">
        <v>59</v>
      </c>
      <c r="F22" t="s">
        <v>726</v>
      </c>
      <c r="G22" s="12" t="s">
        <v>788</v>
      </c>
      <c r="H22" t="s">
        <v>747</v>
      </c>
      <c r="J22" t="s">
        <v>68</v>
      </c>
      <c r="K22" t="s">
        <v>69</v>
      </c>
      <c r="L22" t="s">
        <v>66</v>
      </c>
      <c r="N22" t="s">
        <v>67</v>
      </c>
      <c r="Q22" t="s">
        <v>63</v>
      </c>
      <c r="R22" t="s">
        <v>728</v>
      </c>
      <c r="V22" t="s">
        <v>746</v>
      </c>
    </row>
    <row r="23" spans="1:2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730</v>
      </c>
      <c r="F24" s="1" t="s">
        <v>736</v>
      </c>
      <c r="G24" s="7" t="s">
        <v>4</v>
      </c>
      <c r="I24" s="1" t="s">
        <v>308</v>
      </c>
      <c r="U24" s="1" t="s">
        <v>16</v>
      </c>
      <c r="V24" s="1" t="s">
        <v>575</v>
      </c>
    </row>
    <row r="25" spans="1:25" x14ac:dyDescent="0.25">
      <c r="A25">
        <v>4</v>
      </c>
      <c r="B25" t="s">
        <v>70</v>
      </c>
      <c r="C25" t="s">
        <v>57</v>
      </c>
      <c r="D25" t="s">
        <v>71</v>
      </c>
      <c r="E25" t="s">
        <v>24</v>
      </c>
      <c r="F25" t="s">
        <v>27</v>
      </c>
      <c r="G25" s="12" t="s">
        <v>788</v>
      </c>
      <c r="I25" t="s">
        <v>73</v>
      </c>
      <c r="U25" t="s">
        <v>74</v>
      </c>
      <c r="V25" t="s">
        <v>72</v>
      </c>
    </row>
    <row r="26" spans="1:25" x14ac:dyDescent="0.25">
      <c r="A26">
        <v>4</v>
      </c>
      <c r="B26" t="s">
        <v>70</v>
      </c>
      <c r="C26" t="s">
        <v>57</v>
      </c>
      <c r="D26" t="s">
        <v>71</v>
      </c>
      <c r="E26" t="s">
        <v>24</v>
      </c>
      <c r="F26" t="s">
        <v>27</v>
      </c>
      <c r="G26" s="12" t="s">
        <v>790</v>
      </c>
      <c r="I26" t="s">
        <v>76</v>
      </c>
      <c r="U26" t="s">
        <v>74</v>
      </c>
      <c r="V26" t="s">
        <v>75</v>
      </c>
    </row>
    <row r="27" spans="1:25" x14ac:dyDescent="0.25">
      <c r="A27">
        <v>4</v>
      </c>
      <c r="B27" t="s">
        <v>70</v>
      </c>
      <c r="C27" t="s">
        <v>57</v>
      </c>
      <c r="D27" t="s">
        <v>71</v>
      </c>
      <c r="E27" t="s">
        <v>24</v>
      </c>
      <c r="F27" t="s">
        <v>27</v>
      </c>
      <c r="G27" s="12" t="s">
        <v>788</v>
      </c>
      <c r="I27" t="s">
        <v>78</v>
      </c>
      <c r="U27" t="s">
        <v>74</v>
      </c>
      <c r="V27" t="s">
        <v>77</v>
      </c>
    </row>
    <row r="28" spans="1:25" x14ac:dyDescent="0.25">
      <c r="A28">
        <v>4</v>
      </c>
      <c r="B28" t="s">
        <v>70</v>
      </c>
      <c r="C28" t="s">
        <v>57</v>
      </c>
      <c r="D28" t="s">
        <v>71</v>
      </c>
      <c r="E28" t="s">
        <v>24</v>
      </c>
      <c r="F28" t="s">
        <v>27</v>
      </c>
      <c r="G28" s="12" t="s">
        <v>790</v>
      </c>
      <c r="I28" t="s">
        <v>79</v>
      </c>
      <c r="U28" t="s">
        <v>80</v>
      </c>
      <c r="V28" t="s">
        <v>75</v>
      </c>
    </row>
    <row r="29" spans="1:25" x14ac:dyDescent="0.25">
      <c r="A29">
        <v>4</v>
      </c>
      <c r="B29" t="s">
        <v>70</v>
      </c>
      <c r="C29" t="s">
        <v>57</v>
      </c>
      <c r="D29" t="s">
        <v>71</v>
      </c>
      <c r="E29" t="s">
        <v>24</v>
      </c>
      <c r="F29" t="s">
        <v>27</v>
      </c>
      <c r="G29" s="12" t="s">
        <v>788</v>
      </c>
      <c r="I29" t="s">
        <v>81</v>
      </c>
      <c r="U29" t="s">
        <v>80</v>
      </c>
      <c r="V29" t="s">
        <v>77</v>
      </c>
    </row>
    <row r="30" spans="1:25" x14ac:dyDescent="0.25">
      <c r="A30">
        <v>4</v>
      </c>
      <c r="B30" t="s">
        <v>70</v>
      </c>
      <c r="C30" t="s">
        <v>57</v>
      </c>
      <c r="D30" t="s">
        <v>71</v>
      </c>
      <c r="E30" t="s">
        <v>24</v>
      </c>
      <c r="F30" t="s">
        <v>27</v>
      </c>
      <c r="G30" s="12" t="s">
        <v>790</v>
      </c>
      <c r="I30" t="s">
        <v>82</v>
      </c>
      <c r="U30" t="s">
        <v>83</v>
      </c>
      <c r="V30" t="s">
        <v>75</v>
      </c>
    </row>
    <row r="31" spans="1:25" x14ac:dyDescent="0.25">
      <c r="A31">
        <v>4</v>
      </c>
      <c r="B31" t="s">
        <v>70</v>
      </c>
      <c r="C31" t="s">
        <v>57</v>
      </c>
      <c r="D31" t="s">
        <v>71</v>
      </c>
      <c r="E31" t="s">
        <v>24</v>
      </c>
      <c r="F31" t="s">
        <v>27</v>
      </c>
      <c r="G31" s="12" t="s">
        <v>788</v>
      </c>
      <c r="I31" t="s">
        <v>84</v>
      </c>
      <c r="U31" t="s">
        <v>83</v>
      </c>
      <c r="V31" t="s">
        <v>72</v>
      </c>
    </row>
    <row r="32" spans="1:25" x14ac:dyDescent="0.25">
      <c r="A32">
        <v>4</v>
      </c>
      <c r="B32" t="s">
        <v>70</v>
      </c>
      <c r="C32" t="s">
        <v>57</v>
      </c>
      <c r="D32" t="s">
        <v>71</v>
      </c>
      <c r="E32" t="s">
        <v>24</v>
      </c>
      <c r="F32" t="s">
        <v>27</v>
      </c>
      <c r="G32" s="12" t="s">
        <v>788</v>
      </c>
      <c r="I32" t="s">
        <v>85</v>
      </c>
      <c r="U32" t="s">
        <v>83</v>
      </c>
      <c r="V32" t="s">
        <v>77</v>
      </c>
    </row>
    <row r="33" spans="1:25" x14ac:dyDescent="0.25">
      <c r="A33">
        <v>4</v>
      </c>
      <c r="B33" t="s">
        <v>70</v>
      </c>
      <c r="C33" t="s">
        <v>57</v>
      </c>
      <c r="D33" t="s">
        <v>71</v>
      </c>
      <c r="E33" t="s">
        <v>24</v>
      </c>
      <c r="F33" t="s">
        <v>27</v>
      </c>
      <c r="G33" s="12" t="s">
        <v>789</v>
      </c>
      <c r="I33" t="s">
        <v>86</v>
      </c>
      <c r="U33" t="s">
        <v>87</v>
      </c>
      <c r="V33" t="s">
        <v>72</v>
      </c>
    </row>
    <row r="34" spans="1:25" x14ac:dyDescent="0.25">
      <c r="A34">
        <v>4</v>
      </c>
      <c r="B34" t="s">
        <v>70</v>
      </c>
      <c r="C34" t="s">
        <v>57</v>
      </c>
      <c r="D34" t="s">
        <v>71</v>
      </c>
      <c r="E34" t="s">
        <v>24</v>
      </c>
      <c r="F34" t="s">
        <v>27</v>
      </c>
      <c r="G34" s="12" t="s">
        <v>789</v>
      </c>
      <c r="I34" t="s">
        <v>89</v>
      </c>
      <c r="U34" t="s">
        <v>87</v>
      </c>
      <c r="V34" t="s">
        <v>88</v>
      </c>
    </row>
    <row r="35" spans="1:25" x14ac:dyDescent="0.25">
      <c r="A35">
        <v>4</v>
      </c>
      <c r="B35" t="s">
        <v>70</v>
      </c>
      <c r="C35" t="s">
        <v>57</v>
      </c>
      <c r="D35" t="s">
        <v>71</v>
      </c>
      <c r="E35" t="s">
        <v>24</v>
      </c>
      <c r="F35" t="s">
        <v>27</v>
      </c>
      <c r="G35" s="12" t="s">
        <v>788</v>
      </c>
      <c r="I35" t="s">
        <v>90</v>
      </c>
      <c r="U35" t="s">
        <v>87</v>
      </c>
      <c r="V35" t="s">
        <v>77</v>
      </c>
    </row>
    <row r="36" spans="1:25" x14ac:dyDescent="0.25">
      <c r="A36">
        <v>4</v>
      </c>
      <c r="B36" t="s">
        <v>70</v>
      </c>
      <c r="C36" t="s">
        <v>57</v>
      </c>
      <c r="D36" t="s">
        <v>71</v>
      </c>
      <c r="E36" t="s">
        <v>24</v>
      </c>
      <c r="F36" t="s">
        <v>27</v>
      </c>
      <c r="G36" s="12" t="s">
        <v>789</v>
      </c>
      <c r="I36" t="s">
        <v>91</v>
      </c>
      <c r="U36" t="s">
        <v>92</v>
      </c>
      <c r="V36" t="s">
        <v>88</v>
      </c>
    </row>
    <row r="37" spans="1:25" x14ac:dyDescent="0.25">
      <c r="A37">
        <v>4</v>
      </c>
      <c r="B37" t="s">
        <v>70</v>
      </c>
      <c r="C37" t="s">
        <v>57</v>
      </c>
      <c r="D37" t="s">
        <v>71</v>
      </c>
      <c r="E37" t="s">
        <v>24</v>
      </c>
      <c r="F37" t="s">
        <v>27</v>
      </c>
      <c r="G37" s="12" t="s">
        <v>788</v>
      </c>
      <c r="I37" t="s">
        <v>93</v>
      </c>
      <c r="U37" t="s">
        <v>94</v>
      </c>
      <c r="V37" t="s">
        <v>88</v>
      </c>
    </row>
    <row r="38" spans="1:25" x14ac:dyDescent="0.25">
      <c r="A38">
        <v>4</v>
      </c>
      <c r="B38" t="s">
        <v>70</v>
      </c>
      <c r="C38" t="s">
        <v>57</v>
      </c>
      <c r="D38" t="s">
        <v>71</v>
      </c>
      <c r="E38" t="s">
        <v>24</v>
      </c>
      <c r="F38" t="s">
        <v>27</v>
      </c>
      <c r="G38" s="12" t="s">
        <v>785</v>
      </c>
      <c r="I38" t="s">
        <v>95</v>
      </c>
      <c r="U38" t="s">
        <v>94</v>
      </c>
      <c r="V38" t="s">
        <v>75</v>
      </c>
    </row>
    <row r="39" spans="1:2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730</v>
      </c>
      <c r="F40" s="1" t="s">
        <v>736</v>
      </c>
      <c r="G40" s="7" t="s">
        <v>4</v>
      </c>
      <c r="H40" s="1" t="s">
        <v>723</v>
      </c>
      <c r="J40" s="1" t="s">
        <v>8</v>
      </c>
      <c r="N40" s="1" t="s">
        <v>6</v>
      </c>
      <c r="U40" s="1" t="s">
        <v>17</v>
      </c>
      <c r="V40" s="1"/>
      <c r="W40" s="5" t="s">
        <v>18</v>
      </c>
    </row>
    <row r="41" spans="1:25" x14ac:dyDescent="0.25">
      <c r="A41">
        <v>5</v>
      </c>
      <c r="B41" t="s">
        <v>96</v>
      </c>
      <c r="C41" t="s">
        <v>57</v>
      </c>
      <c r="D41" t="s">
        <v>97</v>
      </c>
      <c r="E41" t="s">
        <v>98</v>
      </c>
      <c r="F41" t="s">
        <v>724</v>
      </c>
      <c r="G41" s="12" t="s">
        <v>790</v>
      </c>
      <c r="H41" t="s">
        <v>99</v>
      </c>
      <c r="J41" t="s">
        <v>101</v>
      </c>
      <c r="N41" t="s">
        <v>100</v>
      </c>
      <c r="U41" t="s">
        <v>102</v>
      </c>
      <c r="W41" s="6" t="s">
        <v>103</v>
      </c>
    </row>
    <row r="42" spans="1:25" x14ac:dyDescent="0.25">
      <c r="A42">
        <v>5</v>
      </c>
      <c r="B42" t="s">
        <v>96</v>
      </c>
      <c r="C42" t="s">
        <v>57</v>
      </c>
      <c r="D42" t="s">
        <v>97</v>
      </c>
      <c r="E42" t="s">
        <v>98</v>
      </c>
      <c r="F42" t="s">
        <v>724</v>
      </c>
      <c r="G42" s="12" t="s">
        <v>788</v>
      </c>
      <c r="H42" t="s">
        <v>104</v>
      </c>
      <c r="J42" t="s">
        <v>102</v>
      </c>
      <c r="N42" t="s">
        <v>105</v>
      </c>
      <c r="U42" t="s">
        <v>102</v>
      </c>
      <c r="W42" s="6" t="s">
        <v>106</v>
      </c>
    </row>
    <row r="43" spans="1:25" x14ac:dyDescent="0.25">
      <c r="A43">
        <v>5</v>
      </c>
      <c r="B43" t="s">
        <v>96</v>
      </c>
      <c r="C43" t="s">
        <v>57</v>
      </c>
      <c r="D43" t="s">
        <v>97</v>
      </c>
      <c r="E43" t="s">
        <v>98</v>
      </c>
      <c r="F43" t="s">
        <v>724</v>
      </c>
      <c r="G43" s="12" t="s">
        <v>788</v>
      </c>
      <c r="H43" t="s">
        <v>107</v>
      </c>
      <c r="J43" t="s">
        <v>105</v>
      </c>
      <c r="N43" t="s">
        <v>102</v>
      </c>
      <c r="U43" t="s">
        <v>105</v>
      </c>
      <c r="W43" s="6" t="s">
        <v>108</v>
      </c>
    </row>
    <row r="44" spans="1:25" x14ac:dyDescent="0.25">
      <c r="A44">
        <v>5</v>
      </c>
      <c r="B44" t="s">
        <v>96</v>
      </c>
      <c r="C44" t="s">
        <v>57</v>
      </c>
      <c r="D44" t="s">
        <v>97</v>
      </c>
      <c r="E44" t="s">
        <v>98</v>
      </c>
      <c r="F44" t="s">
        <v>724</v>
      </c>
      <c r="G44" s="12" t="s">
        <v>788</v>
      </c>
      <c r="H44" t="s">
        <v>109</v>
      </c>
      <c r="J44" t="s">
        <v>102</v>
      </c>
      <c r="N44" t="s">
        <v>105</v>
      </c>
      <c r="U44" t="s">
        <v>102</v>
      </c>
      <c r="W44" s="6" t="s">
        <v>106</v>
      </c>
    </row>
    <row r="45" spans="1:25" x14ac:dyDescent="0.25">
      <c r="A45">
        <v>5</v>
      </c>
      <c r="B45" t="s">
        <v>96</v>
      </c>
      <c r="C45" t="s">
        <v>57</v>
      </c>
      <c r="D45" t="s">
        <v>97</v>
      </c>
      <c r="E45" t="s">
        <v>98</v>
      </c>
      <c r="F45" t="s">
        <v>724</v>
      </c>
      <c r="G45" s="12" t="s">
        <v>788</v>
      </c>
      <c r="H45" t="s">
        <v>110</v>
      </c>
      <c r="J45" t="s">
        <v>101</v>
      </c>
      <c r="N45" t="s">
        <v>102</v>
      </c>
      <c r="U45" t="s">
        <v>101</v>
      </c>
      <c r="W45" s="6" t="s">
        <v>108</v>
      </c>
    </row>
    <row r="46" spans="1:25" x14ac:dyDescent="0.25">
      <c r="A46">
        <v>5</v>
      </c>
      <c r="B46" t="s">
        <v>96</v>
      </c>
      <c r="C46" t="s">
        <v>57</v>
      </c>
      <c r="D46" t="s">
        <v>97</v>
      </c>
      <c r="E46" t="s">
        <v>98</v>
      </c>
      <c r="F46" t="s">
        <v>724</v>
      </c>
      <c r="G46" s="12" t="s">
        <v>788</v>
      </c>
      <c r="H46" t="s">
        <v>111</v>
      </c>
      <c r="J46" t="s">
        <v>101</v>
      </c>
      <c r="N46" t="s">
        <v>102</v>
      </c>
      <c r="U46" t="s">
        <v>105</v>
      </c>
      <c r="W46" s="6" t="s">
        <v>103</v>
      </c>
    </row>
    <row r="47" spans="1:2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730</v>
      </c>
      <c r="F48" s="1" t="s">
        <v>736</v>
      </c>
      <c r="G48" s="7" t="s">
        <v>4</v>
      </c>
      <c r="H48" s="1" t="s">
        <v>720</v>
      </c>
      <c r="J48" s="1" t="s">
        <v>8</v>
      </c>
      <c r="K48" s="1" t="s">
        <v>719</v>
      </c>
      <c r="V48" s="1" t="s">
        <v>721</v>
      </c>
    </row>
    <row r="49" spans="1:25" x14ac:dyDescent="0.25">
      <c r="A49">
        <v>6</v>
      </c>
      <c r="B49" t="s">
        <v>112</v>
      </c>
      <c r="C49" t="s">
        <v>57</v>
      </c>
      <c r="D49" t="s">
        <v>113</v>
      </c>
      <c r="E49" t="s">
        <v>24</v>
      </c>
      <c r="F49" t="s">
        <v>722</v>
      </c>
      <c r="G49" s="12" t="s">
        <v>744</v>
      </c>
      <c r="H49" t="s">
        <v>115</v>
      </c>
      <c r="J49" t="s">
        <v>116</v>
      </c>
      <c r="K49" t="s">
        <v>117</v>
      </c>
      <c r="V49" t="s">
        <v>114</v>
      </c>
    </row>
    <row r="50" spans="1:25" x14ac:dyDescent="0.25">
      <c r="A50">
        <v>6</v>
      </c>
      <c r="B50" t="s">
        <v>112</v>
      </c>
      <c r="C50" t="s">
        <v>57</v>
      </c>
      <c r="D50" t="s">
        <v>113</v>
      </c>
      <c r="E50" t="s">
        <v>24</v>
      </c>
      <c r="F50" t="s">
        <v>722</v>
      </c>
      <c r="G50" s="12" t="s">
        <v>788</v>
      </c>
      <c r="H50" t="s">
        <v>119</v>
      </c>
      <c r="J50" t="s">
        <v>120</v>
      </c>
      <c r="K50" t="s">
        <v>27</v>
      </c>
      <c r="V50" t="s">
        <v>118</v>
      </c>
    </row>
    <row r="51" spans="1:25" x14ac:dyDescent="0.25">
      <c r="A51">
        <v>6</v>
      </c>
      <c r="B51" t="s">
        <v>112</v>
      </c>
      <c r="C51" t="s">
        <v>57</v>
      </c>
      <c r="D51" t="s">
        <v>113</v>
      </c>
      <c r="E51" t="s">
        <v>24</v>
      </c>
      <c r="F51" t="s">
        <v>722</v>
      </c>
      <c r="G51" s="12" t="s">
        <v>788</v>
      </c>
      <c r="H51" t="s">
        <v>121</v>
      </c>
      <c r="J51" t="s">
        <v>122</v>
      </c>
      <c r="K51" t="s">
        <v>123</v>
      </c>
      <c r="V51" t="s">
        <v>118</v>
      </c>
    </row>
    <row r="52" spans="1:25" x14ac:dyDescent="0.25">
      <c r="A52">
        <v>6</v>
      </c>
      <c r="B52" t="s">
        <v>112</v>
      </c>
      <c r="C52" t="s">
        <v>57</v>
      </c>
      <c r="D52" t="s">
        <v>113</v>
      </c>
      <c r="E52" t="s">
        <v>24</v>
      </c>
      <c r="F52" t="s">
        <v>722</v>
      </c>
      <c r="G52" s="12" t="s">
        <v>785</v>
      </c>
      <c r="H52" t="s">
        <v>125</v>
      </c>
      <c r="J52" t="s">
        <v>126</v>
      </c>
      <c r="K52" t="s">
        <v>123</v>
      </c>
      <c r="V52" t="s">
        <v>124</v>
      </c>
    </row>
    <row r="53" spans="1:25" x14ac:dyDescent="0.25">
      <c r="A53">
        <v>6</v>
      </c>
      <c r="B53" t="s">
        <v>112</v>
      </c>
      <c r="C53" t="s">
        <v>57</v>
      </c>
      <c r="D53" t="s">
        <v>113</v>
      </c>
      <c r="E53" t="s">
        <v>24</v>
      </c>
      <c r="F53" t="s">
        <v>722</v>
      </c>
      <c r="G53" s="12" t="s">
        <v>790</v>
      </c>
      <c r="H53" t="s">
        <v>128</v>
      </c>
      <c r="J53" t="s">
        <v>129</v>
      </c>
      <c r="K53" t="s">
        <v>123</v>
      </c>
      <c r="V53" t="s">
        <v>127</v>
      </c>
    </row>
    <row r="54" spans="1:25" x14ac:dyDescent="0.25">
      <c r="A54">
        <v>6</v>
      </c>
      <c r="B54" t="s">
        <v>112</v>
      </c>
      <c r="C54" t="s">
        <v>57</v>
      </c>
      <c r="D54" t="s">
        <v>113</v>
      </c>
      <c r="E54" t="s">
        <v>24</v>
      </c>
      <c r="F54" t="s">
        <v>722</v>
      </c>
      <c r="G54" s="12" t="s">
        <v>790</v>
      </c>
      <c r="H54" t="s">
        <v>131</v>
      </c>
      <c r="J54" t="s">
        <v>132</v>
      </c>
      <c r="K54" t="s">
        <v>123</v>
      </c>
      <c r="V54" t="s">
        <v>130</v>
      </c>
    </row>
    <row r="55" spans="1:25" x14ac:dyDescent="0.25">
      <c r="A55">
        <v>6</v>
      </c>
      <c r="B55" t="s">
        <v>112</v>
      </c>
      <c r="C55" t="s">
        <v>57</v>
      </c>
      <c r="D55" t="s">
        <v>113</v>
      </c>
      <c r="E55" t="s">
        <v>24</v>
      </c>
      <c r="F55" t="s">
        <v>722</v>
      </c>
      <c r="G55" s="12" t="s">
        <v>790</v>
      </c>
      <c r="H55" t="s">
        <v>133</v>
      </c>
      <c r="J55" t="s">
        <v>134</v>
      </c>
      <c r="K55" t="s">
        <v>123</v>
      </c>
      <c r="V55" t="s">
        <v>130</v>
      </c>
    </row>
    <row r="56" spans="1:25" x14ac:dyDescent="0.25">
      <c r="A56">
        <v>6</v>
      </c>
      <c r="B56" t="s">
        <v>112</v>
      </c>
      <c r="C56" t="s">
        <v>57</v>
      </c>
      <c r="D56" t="s">
        <v>113</v>
      </c>
      <c r="E56" t="s">
        <v>24</v>
      </c>
      <c r="F56" t="s">
        <v>722</v>
      </c>
      <c r="G56" s="12" t="s">
        <v>790</v>
      </c>
      <c r="H56" t="s">
        <v>135</v>
      </c>
      <c r="J56" t="s">
        <v>136</v>
      </c>
      <c r="K56" t="s">
        <v>123</v>
      </c>
      <c r="V56" t="s">
        <v>130</v>
      </c>
    </row>
    <row r="57" spans="1:25" x14ac:dyDescent="0.25">
      <c r="A57">
        <v>6</v>
      </c>
      <c r="B57" t="s">
        <v>112</v>
      </c>
      <c r="C57" t="s">
        <v>57</v>
      </c>
      <c r="D57" t="s">
        <v>113</v>
      </c>
      <c r="E57" t="s">
        <v>24</v>
      </c>
      <c r="F57" t="s">
        <v>722</v>
      </c>
      <c r="G57" s="12" t="s">
        <v>786</v>
      </c>
      <c r="H57" t="s">
        <v>138</v>
      </c>
      <c r="J57" t="s">
        <v>139</v>
      </c>
      <c r="K57" t="s">
        <v>123</v>
      </c>
      <c r="V57" t="s">
        <v>137</v>
      </c>
    </row>
    <row r="58" spans="1:25" x14ac:dyDescent="0.25">
      <c r="A58">
        <v>6</v>
      </c>
      <c r="B58" t="s">
        <v>112</v>
      </c>
      <c r="C58" t="s">
        <v>57</v>
      </c>
      <c r="D58" t="s">
        <v>113</v>
      </c>
      <c r="E58" t="s">
        <v>24</v>
      </c>
      <c r="F58" t="s">
        <v>722</v>
      </c>
      <c r="G58" s="12" t="s">
        <v>786</v>
      </c>
      <c r="H58" t="s">
        <v>140</v>
      </c>
      <c r="J58" t="s">
        <v>141</v>
      </c>
      <c r="K58" t="s">
        <v>142</v>
      </c>
      <c r="V58" t="s">
        <v>137</v>
      </c>
    </row>
    <row r="59" spans="1:2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730</v>
      </c>
      <c r="F60" s="1" t="s">
        <v>736</v>
      </c>
      <c r="G60" s="7" t="s">
        <v>4</v>
      </c>
      <c r="H60" s="1" t="s">
        <v>608</v>
      </c>
      <c r="J60" s="1" t="s">
        <v>8</v>
      </c>
      <c r="L60" s="1" t="s">
        <v>13</v>
      </c>
      <c r="N60" s="1" t="s">
        <v>7</v>
      </c>
    </row>
    <row r="61" spans="1:25" x14ac:dyDescent="0.25">
      <c r="A61">
        <v>7</v>
      </c>
      <c r="B61" t="s">
        <v>143</v>
      </c>
      <c r="C61" t="s">
        <v>57</v>
      </c>
      <c r="D61" t="s">
        <v>144</v>
      </c>
      <c r="E61" t="s">
        <v>145</v>
      </c>
      <c r="F61" t="s">
        <v>27</v>
      </c>
      <c r="G61" s="12" t="s">
        <v>790</v>
      </c>
      <c r="H61" t="s">
        <v>146</v>
      </c>
      <c r="J61" t="s">
        <v>126</v>
      </c>
      <c r="L61" t="s">
        <v>148</v>
      </c>
      <c r="N61" t="s">
        <v>147</v>
      </c>
    </row>
    <row r="62" spans="1:25" x14ac:dyDescent="0.25">
      <c r="A62">
        <v>7</v>
      </c>
      <c r="B62" t="s">
        <v>143</v>
      </c>
      <c r="C62" t="s">
        <v>57</v>
      </c>
      <c r="D62" t="s">
        <v>144</v>
      </c>
      <c r="E62" t="s">
        <v>145</v>
      </c>
      <c r="F62" t="s">
        <v>27</v>
      </c>
      <c r="G62" s="12" t="s">
        <v>786</v>
      </c>
      <c r="H62" t="s">
        <v>149</v>
      </c>
      <c r="J62" t="s">
        <v>126</v>
      </c>
      <c r="L62" t="s">
        <v>151</v>
      </c>
      <c r="N62" t="s">
        <v>150</v>
      </c>
    </row>
    <row r="63" spans="1:25" x14ac:dyDescent="0.25">
      <c r="A63">
        <v>7</v>
      </c>
      <c r="B63" t="s">
        <v>143</v>
      </c>
      <c r="C63" t="s">
        <v>57</v>
      </c>
      <c r="D63" t="s">
        <v>144</v>
      </c>
      <c r="E63" t="s">
        <v>145</v>
      </c>
      <c r="F63" t="s">
        <v>27</v>
      </c>
      <c r="G63" s="12" t="s">
        <v>786</v>
      </c>
      <c r="H63" t="s">
        <v>152</v>
      </c>
      <c r="J63" t="s">
        <v>126</v>
      </c>
      <c r="L63" t="s">
        <v>151</v>
      </c>
      <c r="N63" t="s">
        <v>150</v>
      </c>
    </row>
    <row r="64" spans="1:25" x14ac:dyDescent="0.25">
      <c r="A64">
        <v>7</v>
      </c>
      <c r="B64" t="s">
        <v>143</v>
      </c>
      <c r="C64" t="s">
        <v>57</v>
      </c>
      <c r="D64" t="s">
        <v>144</v>
      </c>
      <c r="E64" t="s">
        <v>145</v>
      </c>
      <c r="F64" t="s">
        <v>27</v>
      </c>
      <c r="G64" s="12" t="s">
        <v>788</v>
      </c>
      <c r="H64" t="s">
        <v>153</v>
      </c>
      <c r="J64" t="s">
        <v>155</v>
      </c>
      <c r="L64" t="s">
        <v>30</v>
      </c>
      <c r="N64" t="s">
        <v>154</v>
      </c>
    </row>
    <row r="65" spans="1:25" x14ac:dyDescent="0.25">
      <c r="A65">
        <v>7</v>
      </c>
      <c r="B65" t="s">
        <v>143</v>
      </c>
      <c r="C65" t="s">
        <v>57</v>
      </c>
      <c r="D65" t="s">
        <v>144</v>
      </c>
      <c r="E65" t="s">
        <v>145</v>
      </c>
      <c r="F65" t="s">
        <v>27</v>
      </c>
      <c r="G65" s="12" t="s">
        <v>788</v>
      </c>
      <c r="H65" t="s">
        <v>156</v>
      </c>
      <c r="J65" t="s">
        <v>155</v>
      </c>
      <c r="L65" t="s">
        <v>148</v>
      </c>
      <c r="N65" t="s">
        <v>147</v>
      </c>
    </row>
    <row r="66" spans="1:2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730</v>
      </c>
      <c r="F67" s="1" t="s">
        <v>736</v>
      </c>
      <c r="G67" s="7" t="s">
        <v>4</v>
      </c>
      <c r="I67" s="1" t="s">
        <v>717</v>
      </c>
      <c r="J67" s="1" t="s">
        <v>8</v>
      </c>
      <c r="L67" s="1" t="s">
        <v>13</v>
      </c>
      <c r="N67" s="1" t="s">
        <v>7</v>
      </c>
      <c r="Q67" s="1" t="s">
        <v>716</v>
      </c>
      <c r="V67" s="1" t="s">
        <v>718</v>
      </c>
    </row>
    <row r="68" spans="1:25" x14ac:dyDescent="0.25">
      <c r="A68">
        <v>8</v>
      </c>
      <c r="B68" t="s">
        <v>157</v>
      </c>
      <c r="C68" t="s">
        <v>57</v>
      </c>
      <c r="D68" t="s">
        <v>158</v>
      </c>
      <c r="E68" t="s">
        <v>159</v>
      </c>
      <c r="F68" t="s">
        <v>715</v>
      </c>
      <c r="G68" s="12" t="s">
        <v>788</v>
      </c>
      <c r="I68" t="s">
        <v>161</v>
      </c>
      <c r="J68" t="s">
        <v>163</v>
      </c>
      <c r="L68" t="s">
        <v>66</v>
      </c>
      <c r="N68" t="s">
        <v>162</v>
      </c>
      <c r="Q68">
        <v>10</v>
      </c>
      <c r="V68" t="s">
        <v>160</v>
      </c>
    </row>
    <row r="69" spans="1:25" x14ac:dyDescent="0.25">
      <c r="A69">
        <v>8</v>
      </c>
      <c r="B69" t="s">
        <v>157</v>
      </c>
      <c r="C69" t="s">
        <v>57</v>
      </c>
      <c r="D69" t="s">
        <v>158</v>
      </c>
      <c r="E69" t="s">
        <v>159</v>
      </c>
      <c r="F69" t="s">
        <v>715</v>
      </c>
      <c r="G69" s="12" t="s">
        <v>788</v>
      </c>
      <c r="I69" t="s">
        <v>164</v>
      </c>
      <c r="J69" t="s">
        <v>29</v>
      </c>
      <c r="L69" t="s">
        <v>66</v>
      </c>
      <c r="N69" t="s">
        <v>165</v>
      </c>
      <c r="Q69">
        <v>10</v>
      </c>
      <c r="V69" t="s">
        <v>160</v>
      </c>
    </row>
    <row r="70" spans="1:25" x14ac:dyDescent="0.25">
      <c r="A70">
        <v>8</v>
      </c>
      <c r="B70" t="s">
        <v>157</v>
      </c>
      <c r="C70" t="s">
        <v>57</v>
      </c>
      <c r="D70" t="s">
        <v>158</v>
      </c>
      <c r="E70" t="s">
        <v>159</v>
      </c>
      <c r="F70" t="s">
        <v>715</v>
      </c>
      <c r="G70" s="12" t="s">
        <v>788</v>
      </c>
      <c r="I70" t="s">
        <v>166</v>
      </c>
      <c r="J70" t="s">
        <v>167</v>
      </c>
      <c r="L70" t="s">
        <v>66</v>
      </c>
      <c r="N70" t="s">
        <v>165</v>
      </c>
      <c r="Q70" t="s">
        <v>168</v>
      </c>
      <c r="V70" t="s">
        <v>160</v>
      </c>
    </row>
    <row r="71" spans="1:25" x14ac:dyDescent="0.25">
      <c r="A71">
        <v>8</v>
      </c>
      <c r="B71" t="s">
        <v>157</v>
      </c>
      <c r="C71" t="s">
        <v>57</v>
      </c>
      <c r="D71" t="s">
        <v>158</v>
      </c>
      <c r="E71" t="s">
        <v>159</v>
      </c>
      <c r="F71" t="s">
        <v>715</v>
      </c>
      <c r="G71" s="12" t="s">
        <v>788</v>
      </c>
      <c r="I71" t="s">
        <v>169</v>
      </c>
      <c r="J71" t="s">
        <v>170</v>
      </c>
      <c r="L71" t="s">
        <v>66</v>
      </c>
      <c r="N71" t="s">
        <v>165</v>
      </c>
      <c r="Q71" t="s">
        <v>168</v>
      </c>
      <c r="V71" t="s">
        <v>160</v>
      </c>
    </row>
    <row r="72" spans="1:25" x14ac:dyDescent="0.25">
      <c r="A72">
        <v>8</v>
      </c>
      <c r="B72" t="s">
        <v>157</v>
      </c>
      <c r="C72" t="s">
        <v>57</v>
      </c>
      <c r="D72" t="s">
        <v>158</v>
      </c>
      <c r="E72" t="s">
        <v>159</v>
      </c>
      <c r="F72" t="s">
        <v>715</v>
      </c>
      <c r="G72" s="12" t="s">
        <v>788</v>
      </c>
      <c r="I72" t="s">
        <v>171</v>
      </c>
      <c r="J72" t="s">
        <v>172</v>
      </c>
      <c r="L72" t="s">
        <v>173</v>
      </c>
      <c r="N72" t="s">
        <v>162</v>
      </c>
      <c r="Q72" t="s">
        <v>168</v>
      </c>
      <c r="V72" t="s">
        <v>160</v>
      </c>
    </row>
    <row r="73" spans="1:25" x14ac:dyDescent="0.25">
      <c r="A73">
        <v>8</v>
      </c>
      <c r="B73" t="s">
        <v>157</v>
      </c>
      <c r="C73" t="s">
        <v>57</v>
      </c>
      <c r="D73" t="s">
        <v>158</v>
      </c>
      <c r="E73" t="s">
        <v>159</v>
      </c>
      <c r="F73" t="s">
        <v>715</v>
      </c>
      <c r="G73" s="12" t="s">
        <v>788</v>
      </c>
      <c r="I73" t="s">
        <v>174</v>
      </c>
      <c r="J73" t="s">
        <v>172</v>
      </c>
      <c r="L73" t="s">
        <v>173</v>
      </c>
      <c r="N73" t="s">
        <v>165</v>
      </c>
      <c r="Q73" t="s">
        <v>168</v>
      </c>
      <c r="V73" t="s">
        <v>160</v>
      </c>
    </row>
    <row r="74" spans="1:25" x14ac:dyDescent="0.25">
      <c r="A74">
        <v>8</v>
      </c>
      <c r="B74" t="s">
        <v>157</v>
      </c>
      <c r="C74" t="s">
        <v>57</v>
      </c>
      <c r="D74" t="s">
        <v>158</v>
      </c>
      <c r="E74" t="s">
        <v>159</v>
      </c>
      <c r="F74" t="s">
        <v>715</v>
      </c>
      <c r="G74" s="12" t="s">
        <v>788</v>
      </c>
      <c r="I74" t="s">
        <v>175</v>
      </c>
      <c r="J74" t="s">
        <v>176</v>
      </c>
      <c r="L74" t="s">
        <v>66</v>
      </c>
      <c r="N74" t="s">
        <v>165</v>
      </c>
      <c r="Q74">
        <v>14</v>
      </c>
      <c r="V74" t="s">
        <v>160</v>
      </c>
    </row>
    <row r="75" spans="1:25" x14ac:dyDescent="0.25">
      <c r="A75">
        <v>8</v>
      </c>
      <c r="B75" t="s">
        <v>157</v>
      </c>
      <c r="C75" t="s">
        <v>57</v>
      </c>
      <c r="D75" t="s">
        <v>158</v>
      </c>
      <c r="E75" t="s">
        <v>159</v>
      </c>
      <c r="F75" t="s">
        <v>715</v>
      </c>
      <c r="G75" s="12" t="s">
        <v>788</v>
      </c>
      <c r="I75" t="s">
        <v>25</v>
      </c>
      <c r="J75" t="s">
        <v>29</v>
      </c>
      <c r="L75" t="s">
        <v>66</v>
      </c>
      <c r="N75" t="s">
        <v>165</v>
      </c>
      <c r="Q75">
        <v>14</v>
      </c>
      <c r="V75" t="s">
        <v>160</v>
      </c>
    </row>
    <row r="76" spans="1:25" x14ac:dyDescent="0.25">
      <c r="A76">
        <v>8</v>
      </c>
      <c r="B76" t="s">
        <v>157</v>
      </c>
      <c r="C76" t="s">
        <v>57</v>
      </c>
      <c r="D76" t="s">
        <v>158</v>
      </c>
      <c r="E76" t="s">
        <v>159</v>
      </c>
      <c r="F76" t="s">
        <v>715</v>
      </c>
      <c r="G76" s="12" t="s">
        <v>788</v>
      </c>
      <c r="I76" t="s">
        <v>177</v>
      </c>
      <c r="J76" t="s">
        <v>178</v>
      </c>
      <c r="L76" t="s">
        <v>66</v>
      </c>
      <c r="N76" t="s">
        <v>165</v>
      </c>
      <c r="Q76">
        <v>10</v>
      </c>
      <c r="V76" t="s">
        <v>160</v>
      </c>
    </row>
    <row r="77" spans="1:25" x14ac:dyDescent="0.25">
      <c r="A77">
        <v>8</v>
      </c>
      <c r="B77" t="s">
        <v>157</v>
      </c>
      <c r="C77" t="s">
        <v>57</v>
      </c>
      <c r="D77" t="s">
        <v>158</v>
      </c>
      <c r="E77" t="s">
        <v>159</v>
      </c>
      <c r="F77" t="s">
        <v>715</v>
      </c>
      <c r="G77" s="12" t="s">
        <v>788</v>
      </c>
      <c r="I77" t="s">
        <v>179</v>
      </c>
      <c r="J77" t="s">
        <v>178</v>
      </c>
      <c r="L77" t="s">
        <v>66</v>
      </c>
      <c r="N77" t="s">
        <v>162</v>
      </c>
      <c r="Q77">
        <v>10</v>
      </c>
      <c r="V77" t="s">
        <v>160</v>
      </c>
    </row>
    <row r="78" spans="1:25" x14ac:dyDescent="0.25">
      <c r="A78">
        <v>8</v>
      </c>
      <c r="B78" t="s">
        <v>157</v>
      </c>
      <c r="C78" t="s">
        <v>57</v>
      </c>
      <c r="D78" t="s">
        <v>158</v>
      </c>
      <c r="E78" t="s">
        <v>159</v>
      </c>
      <c r="F78" t="s">
        <v>715</v>
      </c>
      <c r="G78" s="12" t="s">
        <v>788</v>
      </c>
      <c r="I78" t="s">
        <v>180</v>
      </c>
      <c r="J78" t="s">
        <v>181</v>
      </c>
      <c r="L78" t="s">
        <v>66</v>
      </c>
      <c r="N78" t="s">
        <v>165</v>
      </c>
      <c r="Q78">
        <v>10</v>
      </c>
      <c r="V78" t="s">
        <v>160</v>
      </c>
    </row>
    <row r="79" spans="1:25" x14ac:dyDescent="0.25">
      <c r="A79">
        <v>8</v>
      </c>
      <c r="B79" t="s">
        <v>157</v>
      </c>
      <c r="C79" t="s">
        <v>57</v>
      </c>
      <c r="D79" t="s">
        <v>158</v>
      </c>
      <c r="E79" t="s">
        <v>159</v>
      </c>
      <c r="F79" t="s">
        <v>715</v>
      </c>
      <c r="G79" s="12" t="s">
        <v>790</v>
      </c>
      <c r="I79" t="s">
        <v>183</v>
      </c>
      <c r="J79" t="s">
        <v>33</v>
      </c>
      <c r="L79" t="s">
        <v>173</v>
      </c>
      <c r="N79" t="s">
        <v>184</v>
      </c>
      <c r="Q79" t="s">
        <v>27</v>
      </c>
      <c r="V79" t="s">
        <v>182</v>
      </c>
    </row>
    <row r="80" spans="1:25" x14ac:dyDescent="0.25">
      <c r="A80">
        <v>8</v>
      </c>
      <c r="B80" t="s">
        <v>157</v>
      </c>
      <c r="C80" t="s">
        <v>57</v>
      </c>
      <c r="D80" t="s">
        <v>158</v>
      </c>
      <c r="E80" t="s">
        <v>159</v>
      </c>
      <c r="F80" t="s">
        <v>715</v>
      </c>
      <c r="G80" s="12" t="s">
        <v>790</v>
      </c>
      <c r="I80" t="s">
        <v>185</v>
      </c>
      <c r="J80" t="s">
        <v>33</v>
      </c>
      <c r="L80" t="s">
        <v>27</v>
      </c>
      <c r="N80" t="s">
        <v>186</v>
      </c>
      <c r="Q80" t="s">
        <v>187</v>
      </c>
      <c r="V80" t="s">
        <v>182</v>
      </c>
    </row>
    <row r="81" spans="1:25" x14ac:dyDescent="0.25">
      <c r="A81">
        <v>8</v>
      </c>
      <c r="B81" t="s">
        <v>157</v>
      </c>
      <c r="C81" t="s">
        <v>57</v>
      </c>
      <c r="D81" t="s">
        <v>158</v>
      </c>
      <c r="E81" t="s">
        <v>159</v>
      </c>
      <c r="F81" t="s">
        <v>715</v>
      </c>
      <c r="G81" s="12" t="s">
        <v>790</v>
      </c>
      <c r="I81" t="s">
        <v>188</v>
      </c>
      <c r="J81" t="s">
        <v>170</v>
      </c>
      <c r="L81" t="s">
        <v>189</v>
      </c>
      <c r="N81" t="s">
        <v>184</v>
      </c>
      <c r="Q81" t="s">
        <v>27</v>
      </c>
      <c r="V81" t="s">
        <v>182</v>
      </c>
    </row>
    <row r="82" spans="1:25" x14ac:dyDescent="0.25">
      <c r="A82">
        <v>8</v>
      </c>
      <c r="B82" t="s">
        <v>157</v>
      </c>
      <c r="C82" t="s">
        <v>57</v>
      </c>
      <c r="D82" t="s">
        <v>158</v>
      </c>
      <c r="E82" t="s">
        <v>159</v>
      </c>
      <c r="F82" t="s">
        <v>715</v>
      </c>
      <c r="G82" s="12" t="s">
        <v>790</v>
      </c>
      <c r="I82" t="s">
        <v>190</v>
      </c>
      <c r="J82" t="s">
        <v>192</v>
      </c>
      <c r="L82" t="s">
        <v>193</v>
      </c>
      <c r="N82" t="s">
        <v>191</v>
      </c>
      <c r="Q82" t="s">
        <v>27</v>
      </c>
      <c r="V82" t="s">
        <v>182</v>
      </c>
    </row>
    <row r="83" spans="1:25" x14ac:dyDescent="0.25">
      <c r="A83">
        <v>8</v>
      </c>
      <c r="B83" t="s">
        <v>157</v>
      </c>
      <c r="C83" t="s">
        <v>57</v>
      </c>
      <c r="D83" t="s">
        <v>158</v>
      </c>
      <c r="E83" t="s">
        <v>159</v>
      </c>
      <c r="F83" t="s">
        <v>715</v>
      </c>
      <c r="G83" s="12" t="s">
        <v>789</v>
      </c>
      <c r="I83" t="s">
        <v>195</v>
      </c>
      <c r="J83" t="s">
        <v>197</v>
      </c>
      <c r="L83" t="s">
        <v>193</v>
      </c>
      <c r="N83" t="s">
        <v>196</v>
      </c>
      <c r="Q83">
        <v>10</v>
      </c>
      <c r="V83" t="s">
        <v>194</v>
      </c>
    </row>
    <row r="84" spans="1:25" x14ac:dyDescent="0.25">
      <c r="A84">
        <v>8</v>
      </c>
      <c r="B84" t="s">
        <v>157</v>
      </c>
      <c r="C84" t="s">
        <v>57</v>
      </c>
      <c r="D84" t="s">
        <v>158</v>
      </c>
      <c r="E84" t="s">
        <v>159</v>
      </c>
      <c r="F84" t="s">
        <v>715</v>
      </c>
      <c r="G84" s="12" t="s">
        <v>789</v>
      </c>
      <c r="I84" t="s">
        <v>198</v>
      </c>
      <c r="J84" t="s">
        <v>170</v>
      </c>
      <c r="L84" t="s">
        <v>199</v>
      </c>
      <c r="N84" t="s">
        <v>196</v>
      </c>
      <c r="Q84">
        <v>100</v>
      </c>
      <c r="V84" t="s">
        <v>194</v>
      </c>
    </row>
    <row r="85" spans="1:25" x14ac:dyDescent="0.25">
      <c r="A85">
        <v>8</v>
      </c>
      <c r="B85" t="s">
        <v>157</v>
      </c>
      <c r="C85" t="s">
        <v>57</v>
      </c>
      <c r="D85" t="s">
        <v>158</v>
      </c>
      <c r="E85" t="s">
        <v>159</v>
      </c>
      <c r="F85" t="s">
        <v>715</v>
      </c>
      <c r="G85" s="12" t="s">
        <v>789</v>
      </c>
      <c r="I85" t="s">
        <v>201</v>
      </c>
      <c r="J85" t="s">
        <v>203</v>
      </c>
      <c r="L85" t="s">
        <v>204</v>
      </c>
      <c r="N85" t="s">
        <v>202</v>
      </c>
      <c r="Q85">
        <v>900</v>
      </c>
      <c r="V85" t="s">
        <v>200</v>
      </c>
    </row>
    <row r="86" spans="1:25" x14ac:dyDescent="0.25">
      <c r="A86">
        <v>8</v>
      </c>
      <c r="B86" t="s">
        <v>157</v>
      </c>
      <c r="C86" t="s">
        <v>57</v>
      </c>
      <c r="D86" t="s">
        <v>158</v>
      </c>
      <c r="E86" t="s">
        <v>159</v>
      </c>
      <c r="F86" t="s">
        <v>715</v>
      </c>
      <c r="G86" s="12" t="s">
        <v>789</v>
      </c>
      <c r="I86" t="s">
        <v>205</v>
      </c>
      <c r="J86" t="s">
        <v>176</v>
      </c>
      <c r="L86" t="s">
        <v>204</v>
      </c>
      <c r="N86" t="s">
        <v>206</v>
      </c>
      <c r="Q86" t="s">
        <v>207</v>
      </c>
      <c r="V86" t="s">
        <v>200</v>
      </c>
    </row>
    <row r="87" spans="1:25" x14ac:dyDescent="0.25">
      <c r="A87">
        <v>8</v>
      </c>
      <c r="B87" t="s">
        <v>157</v>
      </c>
      <c r="C87" t="s">
        <v>57</v>
      </c>
      <c r="D87" t="s">
        <v>158</v>
      </c>
      <c r="E87" t="s">
        <v>159</v>
      </c>
      <c r="F87" t="s">
        <v>715</v>
      </c>
      <c r="G87" s="12" t="s">
        <v>789</v>
      </c>
      <c r="I87" t="s">
        <v>208</v>
      </c>
      <c r="J87" t="s">
        <v>176</v>
      </c>
      <c r="L87" t="s">
        <v>204</v>
      </c>
      <c r="N87" t="s">
        <v>209</v>
      </c>
      <c r="Q87">
        <v>60</v>
      </c>
      <c r="V87" t="s">
        <v>200</v>
      </c>
    </row>
    <row r="88" spans="1:25" x14ac:dyDescent="0.25">
      <c r="A88">
        <v>8</v>
      </c>
      <c r="B88" t="s">
        <v>157</v>
      </c>
      <c r="C88" t="s">
        <v>57</v>
      </c>
      <c r="D88" t="s">
        <v>158</v>
      </c>
      <c r="E88" t="s">
        <v>159</v>
      </c>
      <c r="F88" t="s">
        <v>715</v>
      </c>
      <c r="G88" s="12" t="s">
        <v>789</v>
      </c>
      <c r="I88" t="s">
        <v>210</v>
      </c>
      <c r="J88" t="s">
        <v>212</v>
      </c>
      <c r="L88" t="s">
        <v>204</v>
      </c>
      <c r="N88" t="s">
        <v>211</v>
      </c>
      <c r="Q88">
        <v>60</v>
      </c>
      <c r="V88" t="s">
        <v>200</v>
      </c>
    </row>
    <row r="89" spans="1:25" x14ac:dyDescent="0.25">
      <c r="A89">
        <v>8</v>
      </c>
      <c r="B89" t="s">
        <v>157</v>
      </c>
      <c r="C89" t="s">
        <v>57</v>
      </c>
      <c r="D89" t="s">
        <v>158</v>
      </c>
      <c r="E89" t="s">
        <v>159</v>
      </c>
      <c r="F89" t="s">
        <v>715</v>
      </c>
      <c r="G89" s="12" t="s">
        <v>789</v>
      </c>
      <c r="I89" t="s">
        <v>213</v>
      </c>
      <c r="J89" t="s">
        <v>203</v>
      </c>
      <c r="L89" t="s">
        <v>204</v>
      </c>
      <c r="N89" t="s">
        <v>209</v>
      </c>
      <c r="Q89">
        <v>700</v>
      </c>
      <c r="V89" t="s">
        <v>200</v>
      </c>
    </row>
    <row r="90" spans="1:25" x14ac:dyDescent="0.25">
      <c r="A90">
        <v>8</v>
      </c>
      <c r="B90" t="s">
        <v>157</v>
      </c>
      <c r="C90" t="s">
        <v>57</v>
      </c>
      <c r="D90" t="s">
        <v>158</v>
      </c>
      <c r="E90" t="s">
        <v>159</v>
      </c>
      <c r="F90" t="s">
        <v>715</v>
      </c>
      <c r="G90" s="12" t="s">
        <v>790</v>
      </c>
      <c r="I90" t="s">
        <v>215</v>
      </c>
      <c r="J90" t="s">
        <v>217</v>
      </c>
      <c r="L90" t="s">
        <v>193</v>
      </c>
      <c r="N90" t="s">
        <v>216</v>
      </c>
      <c r="Q90">
        <v>480</v>
      </c>
      <c r="V90" t="s">
        <v>214</v>
      </c>
    </row>
    <row r="91" spans="1:25" x14ac:dyDescent="0.25">
      <c r="A91">
        <v>8</v>
      </c>
      <c r="B91" t="s">
        <v>157</v>
      </c>
      <c r="C91" t="s">
        <v>57</v>
      </c>
      <c r="D91" t="s">
        <v>158</v>
      </c>
      <c r="E91" t="s">
        <v>159</v>
      </c>
      <c r="F91" t="s">
        <v>715</v>
      </c>
      <c r="G91" s="12" t="s">
        <v>790</v>
      </c>
      <c r="I91" t="s">
        <v>218</v>
      </c>
      <c r="J91" t="s">
        <v>142</v>
      </c>
      <c r="L91" t="s">
        <v>193</v>
      </c>
      <c r="N91" t="s">
        <v>196</v>
      </c>
      <c r="Q91">
        <v>10</v>
      </c>
      <c r="V91" t="s">
        <v>214</v>
      </c>
    </row>
    <row r="92" spans="1:25" x14ac:dyDescent="0.25">
      <c r="A92">
        <v>8</v>
      </c>
      <c r="B92" t="s">
        <v>157</v>
      </c>
      <c r="C92" t="s">
        <v>57</v>
      </c>
      <c r="D92" t="s">
        <v>158</v>
      </c>
      <c r="E92" t="s">
        <v>159</v>
      </c>
      <c r="F92" t="s">
        <v>715</v>
      </c>
      <c r="G92" s="12" t="s">
        <v>790</v>
      </c>
      <c r="I92" t="s">
        <v>219</v>
      </c>
      <c r="J92" t="s">
        <v>142</v>
      </c>
      <c r="L92" t="s">
        <v>189</v>
      </c>
      <c r="N92" t="s">
        <v>196</v>
      </c>
      <c r="Q92">
        <v>10</v>
      </c>
      <c r="V92" t="s">
        <v>214</v>
      </c>
    </row>
    <row r="93" spans="1:25" x14ac:dyDescent="0.25">
      <c r="A93">
        <v>8</v>
      </c>
      <c r="B93" t="s">
        <v>157</v>
      </c>
      <c r="C93" t="s">
        <v>57</v>
      </c>
      <c r="D93" t="s">
        <v>158</v>
      </c>
      <c r="E93" t="s">
        <v>159</v>
      </c>
      <c r="F93" t="s">
        <v>715</v>
      </c>
      <c r="G93" s="12" t="s">
        <v>790</v>
      </c>
      <c r="I93" t="s">
        <v>220</v>
      </c>
      <c r="J93" t="s">
        <v>176</v>
      </c>
      <c r="L93" t="s">
        <v>173</v>
      </c>
      <c r="N93" t="s">
        <v>196</v>
      </c>
      <c r="Q93">
        <v>10</v>
      </c>
      <c r="V93" t="s">
        <v>214</v>
      </c>
    </row>
    <row r="94" spans="1:25" x14ac:dyDescent="0.25">
      <c r="A94">
        <v>8</v>
      </c>
      <c r="B94" t="s">
        <v>157</v>
      </c>
      <c r="C94" t="s">
        <v>57</v>
      </c>
      <c r="D94" t="s">
        <v>158</v>
      </c>
      <c r="E94" t="s">
        <v>159</v>
      </c>
      <c r="F94" t="s">
        <v>715</v>
      </c>
      <c r="G94" s="12" t="s">
        <v>790</v>
      </c>
      <c r="I94" t="s">
        <v>221</v>
      </c>
      <c r="J94" t="s">
        <v>176</v>
      </c>
      <c r="L94" t="s">
        <v>173</v>
      </c>
      <c r="N94" t="s">
        <v>196</v>
      </c>
      <c r="Q94">
        <v>10</v>
      </c>
      <c r="V94" t="s">
        <v>214</v>
      </c>
    </row>
    <row r="95" spans="1:2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 t="s">
        <v>730</v>
      </c>
      <c r="F96" s="1" t="s">
        <v>736</v>
      </c>
      <c r="G96" s="7" t="s">
        <v>4</v>
      </c>
      <c r="H96" s="1" t="s">
        <v>734</v>
      </c>
      <c r="J96" s="1" t="s">
        <v>8</v>
      </c>
      <c r="L96" s="1" t="s">
        <v>713</v>
      </c>
      <c r="N96" s="1" t="s">
        <v>712</v>
      </c>
      <c r="P96" s="1" t="s">
        <v>711</v>
      </c>
      <c r="Q96" s="1" t="s">
        <v>714</v>
      </c>
    </row>
    <row r="97" spans="1:25" x14ac:dyDescent="0.25">
      <c r="A97">
        <v>9</v>
      </c>
      <c r="B97" t="s">
        <v>222</v>
      </c>
      <c r="C97" t="s">
        <v>223</v>
      </c>
      <c r="D97" t="s">
        <v>224</v>
      </c>
      <c r="E97" t="s">
        <v>59</v>
      </c>
      <c r="F97" t="s">
        <v>27</v>
      </c>
      <c r="G97" s="12" t="s">
        <v>788</v>
      </c>
      <c r="H97" t="s">
        <v>225</v>
      </c>
      <c r="J97" t="s">
        <v>167</v>
      </c>
      <c r="L97" t="s">
        <v>226</v>
      </c>
      <c r="N97" t="s">
        <v>167</v>
      </c>
      <c r="P97" t="s">
        <v>26</v>
      </c>
      <c r="Q97" t="s">
        <v>227</v>
      </c>
    </row>
    <row r="98" spans="1:25" x14ac:dyDescent="0.25">
      <c r="A98">
        <v>9</v>
      </c>
      <c r="B98" t="s">
        <v>222</v>
      </c>
      <c r="C98" t="s">
        <v>223</v>
      </c>
      <c r="D98" t="s">
        <v>224</v>
      </c>
      <c r="E98" t="s">
        <v>59</v>
      </c>
      <c r="F98" t="s">
        <v>27</v>
      </c>
      <c r="G98" s="12" t="s">
        <v>788</v>
      </c>
      <c r="H98" t="s">
        <v>225</v>
      </c>
      <c r="J98" t="s">
        <v>29</v>
      </c>
      <c r="L98" t="s">
        <v>229</v>
      </c>
      <c r="N98" t="s">
        <v>29</v>
      </c>
      <c r="P98" t="s">
        <v>228</v>
      </c>
      <c r="Q98" t="s">
        <v>230</v>
      </c>
    </row>
    <row r="99" spans="1:25" x14ac:dyDescent="0.25">
      <c r="A99">
        <v>9</v>
      </c>
      <c r="B99" t="s">
        <v>222</v>
      </c>
      <c r="C99" t="s">
        <v>223</v>
      </c>
      <c r="D99" t="s">
        <v>224</v>
      </c>
      <c r="E99" t="s">
        <v>59</v>
      </c>
      <c r="F99" t="s">
        <v>27</v>
      </c>
      <c r="G99" s="12" t="s">
        <v>788</v>
      </c>
      <c r="H99" t="s">
        <v>225</v>
      </c>
      <c r="J99" t="s">
        <v>163</v>
      </c>
      <c r="L99" t="s">
        <v>229</v>
      </c>
      <c r="N99" t="s">
        <v>163</v>
      </c>
      <c r="P99" t="s">
        <v>231</v>
      </c>
      <c r="Q99" t="s">
        <v>232</v>
      </c>
    </row>
    <row r="100" spans="1:2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730</v>
      </c>
      <c r="F101" s="1" t="s">
        <v>736</v>
      </c>
      <c r="G101" s="7" t="s">
        <v>4</v>
      </c>
      <c r="H101" s="1" t="s">
        <v>704</v>
      </c>
      <c r="J101" s="1" t="s">
        <v>8</v>
      </c>
      <c r="L101" s="1" t="s">
        <v>13</v>
      </c>
      <c r="N101" s="1" t="s">
        <v>576</v>
      </c>
      <c r="Q101" s="1" t="s">
        <v>14</v>
      </c>
      <c r="R101" s="1" t="s">
        <v>705</v>
      </c>
    </row>
    <row r="102" spans="1:25" x14ac:dyDescent="0.25">
      <c r="A102">
        <v>10</v>
      </c>
      <c r="B102" t="s">
        <v>233</v>
      </c>
      <c r="C102" t="s">
        <v>223</v>
      </c>
      <c r="D102" t="s">
        <v>234</v>
      </c>
      <c r="E102" t="s">
        <v>235</v>
      </c>
      <c r="F102" t="s">
        <v>704</v>
      </c>
      <c r="G102" s="12" t="s">
        <v>788</v>
      </c>
      <c r="H102" t="s">
        <v>236</v>
      </c>
      <c r="J102" t="s">
        <v>238</v>
      </c>
      <c r="L102" t="s">
        <v>239</v>
      </c>
      <c r="N102" t="s">
        <v>237</v>
      </c>
      <c r="Q102" t="s">
        <v>240</v>
      </c>
      <c r="R102" t="s">
        <v>241</v>
      </c>
    </row>
    <row r="103" spans="1:25" x14ac:dyDescent="0.25">
      <c r="A103">
        <v>10</v>
      </c>
      <c r="B103" t="s">
        <v>233</v>
      </c>
      <c r="C103" t="s">
        <v>223</v>
      </c>
      <c r="D103" t="s">
        <v>234</v>
      </c>
      <c r="E103" t="s">
        <v>235</v>
      </c>
      <c r="F103" t="s">
        <v>704</v>
      </c>
      <c r="G103" s="12" t="s">
        <v>788</v>
      </c>
      <c r="H103" t="s">
        <v>242</v>
      </c>
      <c r="J103" t="s">
        <v>244</v>
      </c>
      <c r="L103" t="s">
        <v>239</v>
      </c>
      <c r="N103" t="s">
        <v>243</v>
      </c>
      <c r="Q103" t="s">
        <v>245</v>
      </c>
      <c r="R103" t="s">
        <v>246</v>
      </c>
    </row>
    <row r="104" spans="1:25" x14ac:dyDescent="0.25">
      <c r="A104">
        <v>10</v>
      </c>
      <c r="B104" t="s">
        <v>233</v>
      </c>
      <c r="C104" t="s">
        <v>223</v>
      </c>
      <c r="D104" t="s">
        <v>234</v>
      </c>
      <c r="E104" t="s">
        <v>235</v>
      </c>
      <c r="F104" t="s">
        <v>704</v>
      </c>
      <c r="G104" s="12" t="s">
        <v>788</v>
      </c>
      <c r="H104" t="s">
        <v>247</v>
      </c>
      <c r="J104" t="s">
        <v>244</v>
      </c>
      <c r="L104" s="2" t="s">
        <v>249</v>
      </c>
      <c r="N104" t="s">
        <v>248</v>
      </c>
      <c r="Q104" t="s">
        <v>245</v>
      </c>
      <c r="R104" t="s">
        <v>246</v>
      </c>
    </row>
    <row r="105" spans="1:25" x14ac:dyDescent="0.25">
      <c r="A105">
        <v>10</v>
      </c>
      <c r="B105" t="s">
        <v>233</v>
      </c>
      <c r="C105" t="s">
        <v>223</v>
      </c>
      <c r="D105" t="s">
        <v>234</v>
      </c>
      <c r="E105" t="s">
        <v>235</v>
      </c>
      <c r="F105" t="s">
        <v>704</v>
      </c>
      <c r="G105" s="12" t="s">
        <v>788</v>
      </c>
      <c r="H105" t="s">
        <v>250</v>
      </c>
      <c r="J105" t="s">
        <v>251</v>
      </c>
      <c r="L105" s="2" t="s">
        <v>249</v>
      </c>
      <c r="N105" t="s">
        <v>248</v>
      </c>
      <c r="Q105" t="s">
        <v>245</v>
      </c>
      <c r="R105" t="s">
        <v>252</v>
      </c>
    </row>
    <row r="106" spans="1:25" x14ac:dyDescent="0.25">
      <c r="A106">
        <v>10</v>
      </c>
      <c r="B106" t="s">
        <v>233</v>
      </c>
      <c r="C106" t="s">
        <v>223</v>
      </c>
      <c r="D106" t="s">
        <v>234</v>
      </c>
      <c r="E106" t="s">
        <v>235</v>
      </c>
      <c r="F106" t="s">
        <v>704</v>
      </c>
      <c r="G106" s="12" t="s">
        <v>788</v>
      </c>
      <c r="H106" t="s">
        <v>253</v>
      </c>
      <c r="J106" t="s">
        <v>251</v>
      </c>
      <c r="L106" s="2" t="s">
        <v>249</v>
      </c>
      <c r="N106" t="s">
        <v>248</v>
      </c>
      <c r="Q106" t="s">
        <v>245</v>
      </c>
      <c r="R106" t="s">
        <v>246</v>
      </c>
    </row>
    <row r="107" spans="1:25" x14ac:dyDescent="0.25">
      <c r="A107">
        <v>10</v>
      </c>
      <c r="B107" t="s">
        <v>233</v>
      </c>
      <c r="C107" t="s">
        <v>223</v>
      </c>
      <c r="D107" t="s">
        <v>234</v>
      </c>
      <c r="E107" t="s">
        <v>235</v>
      </c>
      <c r="F107" t="s">
        <v>704</v>
      </c>
      <c r="G107" s="12" t="s">
        <v>788</v>
      </c>
      <c r="H107" t="s">
        <v>254</v>
      </c>
      <c r="J107" t="s">
        <v>255</v>
      </c>
      <c r="L107" s="2">
        <v>0.98</v>
      </c>
      <c r="N107" t="s">
        <v>243</v>
      </c>
      <c r="Q107" t="s">
        <v>240</v>
      </c>
      <c r="R107">
        <v>50</v>
      </c>
    </row>
    <row r="108" spans="1:25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730</v>
      </c>
      <c r="F108" s="1" t="s">
        <v>736</v>
      </c>
      <c r="G108" s="7" t="s">
        <v>4</v>
      </c>
      <c r="H108" s="1" t="s">
        <v>5</v>
      </c>
      <c r="N108" s="1" t="s">
        <v>702</v>
      </c>
      <c r="Q108" s="1" t="s">
        <v>14</v>
      </c>
    </row>
    <row r="109" spans="1:25" x14ac:dyDescent="0.25">
      <c r="A109">
        <v>10</v>
      </c>
      <c r="B109" t="s">
        <v>233</v>
      </c>
      <c r="C109" t="s">
        <v>223</v>
      </c>
      <c r="D109" t="s">
        <v>234</v>
      </c>
      <c r="E109" t="s">
        <v>59</v>
      </c>
      <c r="F109" t="s">
        <v>703</v>
      </c>
      <c r="G109" s="12" t="s">
        <v>789</v>
      </c>
      <c r="H109" t="s">
        <v>256</v>
      </c>
      <c r="N109" t="s">
        <v>257</v>
      </c>
      <c r="Q109" t="s">
        <v>258</v>
      </c>
    </row>
    <row r="110" spans="1:25" x14ac:dyDescent="0.25">
      <c r="A110">
        <v>10</v>
      </c>
      <c r="B110" t="s">
        <v>233</v>
      </c>
      <c r="C110" t="s">
        <v>223</v>
      </c>
      <c r="D110" t="s">
        <v>234</v>
      </c>
      <c r="E110" t="s">
        <v>59</v>
      </c>
      <c r="F110" t="s">
        <v>703</v>
      </c>
      <c r="G110" s="12" t="s">
        <v>788</v>
      </c>
      <c r="H110" t="s">
        <v>259</v>
      </c>
      <c r="N110" t="s">
        <v>260</v>
      </c>
      <c r="Q110" t="s">
        <v>261</v>
      </c>
    </row>
    <row r="111" spans="1:25" x14ac:dyDescent="0.25">
      <c r="A111">
        <v>10</v>
      </c>
      <c r="B111" t="s">
        <v>233</v>
      </c>
      <c r="C111" t="s">
        <v>223</v>
      </c>
      <c r="D111" t="s">
        <v>234</v>
      </c>
      <c r="E111" t="s">
        <v>59</v>
      </c>
      <c r="F111" t="s">
        <v>703</v>
      </c>
      <c r="G111" s="12" t="s">
        <v>788</v>
      </c>
      <c r="H111" t="s">
        <v>262</v>
      </c>
      <c r="N111" t="s">
        <v>263</v>
      </c>
      <c r="Q111" t="s">
        <v>264</v>
      </c>
    </row>
    <row r="112" spans="1:25" x14ac:dyDescent="0.25">
      <c r="A112">
        <v>10</v>
      </c>
      <c r="B112" t="s">
        <v>233</v>
      </c>
      <c r="C112" t="s">
        <v>223</v>
      </c>
      <c r="D112" t="s">
        <v>234</v>
      </c>
      <c r="E112" t="s">
        <v>59</v>
      </c>
      <c r="F112" t="s">
        <v>703</v>
      </c>
      <c r="G112" s="12" t="s">
        <v>788</v>
      </c>
      <c r="H112" t="s">
        <v>265</v>
      </c>
      <c r="N112" t="s">
        <v>266</v>
      </c>
      <c r="Q112" t="s">
        <v>267</v>
      </c>
    </row>
    <row r="113" spans="1:25" x14ac:dyDescent="0.25">
      <c r="A113">
        <v>10</v>
      </c>
      <c r="B113" t="s">
        <v>233</v>
      </c>
      <c r="C113" t="s">
        <v>223</v>
      </c>
      <c r="D113" t="s">
        <v>234</v>
      </c>
      <c r="E113" t="s">
        <v>59</v>
      </c>
      <c r="F113" t="s">
        <v>703</v>
      </c>
      <c r="G113" s="12" t="s">
        <v>790</v>
      </c>
      <c r="H113" t="s">
        <v>130</v>
      </c>
      <c r="N113" t="s">
        <v>268</v>
      </c>
      <c r="Q113" t="s">
        <v>269</v>
      </c>
    </row>
    <row r="114" spans="1:25" x14ac:dyDescent="0.25">
      <c r="A114">
        <v>10</v>
      </c>
      <c r="B114" t="s">
        <v>233</v>
      </c>
      <c r="C114" t="s">
        <v>223</v>
      </c>
      <c r="D114" t="s">
        <v>234</v>
      </c>
      <c r="E114" t="s">
        <v>59</v>
      </c>
      <c r="F114" t="s">
        <v>703</v>
      </c>
      <c r="G114" s="12" t="s">
        <v>788</v>
      </c>
      <c r="H114" t="s">
        <v>270</v>
      </c>
      <c r="N114" t="s">
        <v>271</v>
      </c>
      <c r="Q114" t="s">
        <v>272</v>
      </c>
    </row>
    <row r="115" spans="1:25" x14ac:dyDescent="0.25">
      <c r="A115">
        <v>10</v>
      </c>
      <c r="B115" t="s">
        <v>233</v>
      </c>
      <c r="C115" t="s">
        <v>223</v>
      </c>
      <c r="D115" t="s">
        <v>234</v>
      </c>
      <c r="E115" t="s">
        <v>59</v>
      </c>
      <c r="F115" t="s">
        <v>703</v>
      </c>
      <c r="G115" s="12" t="s">
        <v>789</v>
      </c>
      <c r="H115" t="s">
        <v>273</v>
      </c>
      <c r="N115" t="s">
        <v>274</v>
      </c>
      <c r="Q115" t="s">
        <v>275</v>
      </c>
    </row>
    <row r="116" spans="1:25" x14ac:dyDescent="0.25">
      <c r="A116">
        <v>10</v>
      </c>
      <c r="B116" t="s">
        <v>233</v>
      </c>
      <c r="C116" t="s">
        <v>223</v>
      </c>
      <c r="D116" t="s">
        <v>234</v>
      </c>
      <c r="E116" t="s">
        <v>59</v>
      </c>
      <c r="F116" t="s">
        <v>703</v>
      </c>
      <c r="G116" s="12" t="s">
        <v>788</v>
      </c>
      <c r="H116" t="s">
        <v>276</v>
      </c>
      <c r="N116" t="s">
        <v>268</v>
      </c>
      <c r="Q116" t="s">
        <v>277</v>
      </c>
    </row>
    <row r="117" spans="1:2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730</v>
      </c>
      <c r="F118" s="1" t="s">
        <v>736</v>
      </c>
      <c r="G118" s="7" t="s">
        <v>4</v>
      </c>
      <c r="H118" s="1" t="s">
        <v>706</v>
      </c>
      <c r="J118" s="1" t="s">
        <v>8</v>
      </c>
      <c r="L118" s="1" t="s">
        <v>13</v>
      </c>
      <c r="M118" s="1" t="s">
        <v>11</v>
      </c>
      <c r="N118" s="1" t="s">
        <v>576</v>
      </c>
      <c r="W118" s="5" t="s">
        <v>19</v>
      </c>
      <c r="X118" s="5" t="s">
        <v>20</v>
      </c>
    </row>
    <row r="119" spans="1:25" x14ac:dyDescent="0.25">
      <c r="A119">
        <v>11</v>
      </c>
      <c r="B119" t="s">
        <v>278</v>
      </c>
      <c r="C119" t="s">
        <v>279</v>
      </c>
      <c r="D119" t="s">
        <v>280</v>
      </c>
      <c r="E119" t="s">
        <v>59</v>
      </c>
      <c r="F119" t="s">
        <v>707</v>
      </c>
      <c r="G119" s="12" t="s">
        <v>789</v>
      </c>
      <c r="H119" t="s">
        <v>281</v>
      </c>
      <c r="J119" t="s">
        <v>31</v>
      </c>
      <c r="L119" t="s">
        <v>30</v>
      </c>
      <c r="M119" t="s">
        <v>283</v>
      </c>
      <c r="N119" t="s">
        <v>282</v>
      </c>
      <c r="W119" s="6" t="s">
        <v>284</v>
      </c>
      <c r="X119" s="6">
        <v>1</v>
      </c>
    </row>
    <row r="120" spans="1:25" x14ac:dyDescent="0.25">
      <c r="A120">
        <v>11</v>
      </c>
      <c r="B120" t="s">
        <v>278</v>
      </c>
      <c r="C120" t="s">
        <v>279</v>
      </c>
      <c r="D120" t="s">
        <v>280</v>
      </c>
      <c r="E120" t="s">
        <v>59</v>
      </c>
      <c r="F120" t="s">
        <v>707</v>
      </c>
      <c r="G120" s="12" t="s">
        <v>789</v>
      </c>
      <c r="H120" t="s">
        <v>285</v>
      </c>
      <c r="J120" t="s">
        <v>287</v>
      </c>
      <c r="L120" t="s">
        <v>30</v>
      </c>
      <c r="M120" t="s">
        <v>288</v>
      </c>
      <c r="N120" t="s">
        <v>286</v>
      </c>
      <c r="W120" s="6" t="s">
        <v>289</v>
      </c>
      <c r="X120" s="6">
        <v>2</v>
      </c>
    </row>
    <row r="121" spans="1:25" x14ac:dyDescent="0.25">
      <c r="A121">
        <v>11</v>
      </c>
      <c r="B121" t="s">
        <v>278</v>
      </c>
      <c r="C121" t="s">
        <v>279</v>
      </c>
      <c r="D121" t="s">
        <v>280</v>
      </c>
      <c r="E121" t="s">
        <v>59</v>
      </c>
      <c r="F121" t="s">
        <v>707</v>
      </c>
      <c r="G121" s="12" t="s">
        <v>789</v>
      </c>
      <c r="H121" t="s">
        <v>290</v>
      </c>
      <c r="J121" t="s">
        <v>287</v>
      </c>
      <c r="L121" t="s">
        <v>30</v>
      </c>
      <c r="M121" t="s">
        <v>288</v>
      </c>
      <c r="N121" t="s">
        <v>291</v>
      </c>
      <c r="W121" s="6" t="s">
        <v>292</v>
      </c>
      <c r="X121" s="6">
        <v>2</v>
      </c>
    </row>
    <row r="122" spans="1:25" x14ac:dyDescent="0.25">
      <c r="A122">
        <v>11</v>
      </c>
      <c r="B122" t="s">
        <v>278</v>
      </c>
      <c r="C122" t="s">
        <v>279</v>
      </c>
      <c r="D122" t="s">
        <v>280</v>
      </c>
      <c r="E122" t="s">
        <v>59</v>
      </c>
      <c r="F122" t="s">
        <v>707</v>
      </c>
      <c r="G122" s="12" t="s">
        <v>789</v>
      </c>
      <c r="H122" t="s">
        <v>293</v>
      </c>
      <c r="J122" t="s">
        <v>295</v>
      </c>
      <c r="L122" t="s">
        <v>30</v>
      </c>
      <c r="M122" t="s">
        <v>288</v>
      </c>
      <c r="N122" t="s">
        <v>294</v>
      </c>
      <c r="W122" s="6" t="s">
        <v>292</v>
      </c>
      <c r="X122" s="6">
        <v>3</v>
      </c>
    </row>
    <row r="123" spans="1:25" x14ac:dyDescent="0.25">
      <c r="A123">
        <v>11</v>
      </c>
      <c r="B123" t="s">
        <v>278</v>
      </c>
      <c r="C123" t="s">
        <v>279</v>
      </c>
      <c r="D123" t="s">
        <v>280</v>
      </c>
      <c r="E123" t="s">
        <v>59</v>
      </c>
      <c r="F123" t="s">
        <v>707</v>
      </c>
      <c r="G123" s="12" t="s">
        <v>789</v>
      </c>
      <c r="H123" t="s">
        <v>296</v>
      </c>
      <c r="J123" t="s">
        <v>295</v>
      </c>
      <c r="L123" s="2">
        <v>0.99</v>
      </c>
      <c r="M123" t="s">
        <v>27</v>
      </c>
      <c r="N123" t="s">
        <v>297</v>
      </c>
      <c r="W123" s="6" t="s">
        <v>292</v>
      </c>
      <c r="X123" s="6">
        <v>4</v>
      </c>
    </row>
    <row r="124" spans="1:25" x14ac:dyDescent="0.25">
      <c r="A124">
        <v>11</v>
      </c>
      <c r="B124" t="s">
        <v>278</v>
      </c>
      <c r="C124" t="s">
        <v>279</v>
      </c>
      <c r="D124" t="s">
        <v>280</v>
      </c>
      <c r="E124" t="s">
        <v>59</v>
      </c>
      <c r="F124" t="s">
        <v>707</v>
      </c>
      <c r="G124" s="12" t="s">
        <v>789</v>
      </c>
      <c r="H124" t="s">
        <v>298</v>
      </c>
      <c r="J124" t="s">
        <v>287</v>
      </c>
      <c r="L124" t="s">
        <v>30</v>
      </c>
      <c r="M124" t="s">
        <v>283</v>
      </c>
      <c r="N124" t="s">
        <v>299</v>
      </c>
      <c r="W124" s="6" t="s">
        <v>300</v>
      </c>
      <c r="X124" s="6">
        <v>1</v>
      </c>
    </row>
    <row r="125" spans="1:25" x14ac:dyDescent="0.25">
      <c r="A125">
        <v>11</v>
      </c>
      <c r="B125" t="s">
        <v>278</v>
      </c>
      <c r="C125" t="s">
        <v>279</v>
      </c>
      <c r="D125" t="s">
        <v>280</v>
      </c>
      <c r="E125" t="s">
        <v>59</v>
      </c>
      <c r="F125" t="s">
        <v>707</v>
      </c>
      <c r="G125" s="12" t="s">
        <v>789</v>
      </c>
      <c r="H125" t="s">
        <v>301</v>
      </c>
      <c r="J125" t="s">
        <v>287</v>
      </c>
      <c r="L125" t="s">
        <v>30</v>
      </c>
      <c r="M125" t="s">
        <v>288</v>
      </c>
      <c r="N125" t="s">
        <v>302</v>
      </c>
      <c r="W125" s="6" t="s">
        <v>303</v>
      </c>
      <c r="X125" s="6">
        <v>2</v>
      </c>
    </row>
    <row r="126" spans="1:25" x14ac:dyDescent="0.25">
      <c r="A126">
        <v>11</v>
      </c>
      <c r="B126" t="s">
        <v>278</v>
      </c>
      <c r="C126" t="s">
        <v>279</v>
      </c>
      <c r="D126" t="s">
        <v>280</v>
      </c>
      <c r="E126" t="s">
        <v>59</v>
      </c>
      <c r="F126" t="s">
        <v>707</v>
      </c>
      <c r="G126" s="12" t="s">
        <v>789</v>
      </c>
      <c r="H126" t="s">
        <v>304</v>
      </c>
      <c r="J126" t="s">
        <v>306</v>
      </c>
      <c r="L126" s="2">
        <v>0.99</v>
      </c>
      <c r="M126" t="s">
        <v>27</v>
      </c>
      <c r="N126" t="s">
        <v>305</v>
      </c>
      <c r="W126" s="6" t="s">
        <v>307</v>
      </c>
      <c r="X126" s="6">
        <v>3</v>
      </c>
    </row>
    <row r="127" spans="1:2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730</v>
      </c>
      <c r="F128" s="1" t="s">
        <v>736</v>
      </c>
      <c r="G128" s="7" t="s">
        <v>4</v>
      </c>
      <c r="H128" s="1" t="s">
        <v>308</v>
      </c>
      <c r="J128" s="1" t="s">
        <v>8</v>
      </c>
      <c r="N128" s="1" t="s">
        <v>576</v>
      </c>
      <c r="S128" s="1" t="s">
        <v>311</v>
      </c>
      <c r="W128" s="5" t="s">
        <v>309</v>
      </c>
    </row>
    <row r="129" spans="1:25" x14ac:dyDescent="0.25">
      <c r="A129">
        <v>12</v>
      </c>
      <c r="B129" t="s">
        <v>312</v>
      </c>
      <c r="C129" t="s">
        <v>313</v>
      </c>
      <c r="D129" t="s">
        <v>314</v>
      </c>
      <c r="E129" t="s">
        <v>315</v>
      </c>
      <c r="F129" t="s">
        <v>316</v>
      </c>
      <c r="G129" s="12" t="s">
        <v>790</v>
      </c>
      <c r="H129" t="s">
        <v>317</v>
      </c>
      <c r="J129" t="s">
        <v>163</v>
      </c>
      <c r="N129" t="s">
        <v>784</v>
      </c>
      <c r="S129" t="s">
        <v>320</v>
      </c>
      <c r="W129" s="6" t="s">
        <v>318</v>
      </c>
    </row>
    <row r="130" spans="1:25" x14ac:dyDescent="0.25">
      <c r="A130">
        <v>12</v>
      </c>
      <c r="B130" t="s">
        <v>312</v>
      </c>
      <c r="C130" t="s">
        <v>313</v>
      </c>
      <c r="D130" t="s">
        <v>314</v>
      </c>
      <c r="E130" t="s">
        <v>315</v>
      </c>
      <c r="F130" t="s">
        <v>316</v>
      </c>
      <c r="G130" s="12" t="s">
        <v>790</v>
      </c>
      <c r="H130" t="s">
        <v>321</v>
      </c>
      <c r="J130" t="s">
        <v>181</v>
      </c>
      <c r="N130" t="s">
        <v>784</v>
      </c>
      <c r="S130" t="s">
        <v>320</v>
      </c>
      <c r="W130" s="6" t="s">
        <v>322</v>
      </c>
    </row>
    <row r="131" spans="1:25" x14ac:dyDescent="0.25">
      <c r="A131">
        <v>12</v>
      </c>
      <c r="B131" t="s">
        <v>312</v>
      </c>
      <c r="C131" t="s">
        <v>313</v>
      </c>
      <c r="D131" t="s">
        <v>314</v>
      </c>
      <c r="E131" t="s">
        <v>315</v>
      </c>
      <c r="F131" t="s">
        <v>316</v>
      </c>
      <c r="G131" s="12" t="s">
        <v>790</v>
      </c>
      <c r="H131" t="s">
        <v>324</v>
      </c>
      <c r="J131" t="s">
        <v>783</v>
      </c>
      <c r="N131" t="s">
        <v>629</v>
      </c>
      <c r="S131" t="s">
        <v>327</v>
      </c>
      <c r="W131" s="6" t="s">
        <v>325</v>
      </c>
    </row>
    <row r="132" spans="1:25" x14ac:dyDescent="0.25">
      <c r="A132">
        <v>12</v>
      </c>
      <c r="B132" t="s">
        <v>312</v>
      </c>
      <c r="C132" t="s">
        <v>313</v>
      </c>
      <c r="D132" t="s">
        <v>314</v>
      </c>
      <c r="E132" t="s">
        <v>315</v>
      </c>
      <c r="F132" t="s">
        <v>316</v>
      </c>
      <c r="G132" s="12" t="s">
        <v>790</v>
      </c>
      <c r="H132" t="s">
        <v>328</v>
      </c>
      <c r="J132" t="s">
        <v>35</v>
      </c>
      <c r="N132" t="s">
        <v>629</v>
      </c>
      <c r="S132" t="s">
        <v>330</v>
      </c>
      <c r="W132" s="6" t="s">
        <v>325</v>
      </c>
    </row>
    <row r="133" spans="1:25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730</v>
      </c>
      <c r="F134" s="1" t="s">
        <v>736</v>
      </c>
      <c r="G134" s="7" t="s">
        <v>4</v>
      </c>
      <c r="H134" s="1" t="s">
        <v>334</v>
      </c>
      <c r="J134" s="1" t="s">
        <v>333</v>
      </c>
      <c r="L134" s="1" t="s">
        <v>332</v>
      </c>
      <c r="W134" s="5" t="s">
        <v>331</v>
      </c>
    </row>
    <row r="135" spans="1:25" x14ac:dyDescent="0.25">
      <c r="A135">
        <v>13</v>
      </c>
      <c r="B135" t="s">
        <v>335</v>
      </c>
      <c r="C135" t="s">
        <v>313</v>
      </c>
      <c r="D135" t="s">
        <v>336</v>
      </c>
      <c r="E135" t="s">
        <v>59</v>
      </c>
      <c r="F135" t="s">
        <v>737</v>
      </c>
      <c r="G135" s="12" t="s">
        <v>788</v>
      </c>
      <c r="H135" t="s">
        <v>363</v>
      </c>
      <c r="J135" t="s">
        <v>241</v>
      </c>
      <c r="L135" t="s">
        <v>338</v>
      </c>
      <c r="W135" s="6">
        <v>1</v>
      </c>
    </row>
    <row r="136" spans="1:25" x14ac:dyDescent="0.25">
      <c r="A136">
        <v>13</v>
      </c>
      <c r="B136" t="s">
        <v>335</v>
      </c>
      <c r="C136" t="s">
        <v>313</v>
      </c>
      <c r="D136" t="s">
        <v>336</v>
      </c>
      <c r="E136" t="s">
        <v>59</v>
      </c>
      <c r="F136" t="s">
        <v>737</v>
      </c>
      <c r="G136" s="12" t="s">
        <v>790</v>
      </c>
      <c r="H136" t="s">
        <v>793</v>
      </c>
      <c r="J136" t="s">
        <v>241</v>
      </c>
      <c r="L136" t="s">
        <v>338</v>
      </c>
      <c r="W136" s="6">
        <v>1</v>
      </c>
    </row>
    <row r="137" spans="1:25" x14ac:dyDescent="0.25">
      <c r="A137">
        <v>13</v>
      </c>
      <c r="B137" t="s">
        <v>335</v>
      </c>
      <c r="C137" t="s">
        <v>313</v>
      </c>
      <c r="D137" t="s">
        <v>336</v>
      </c>
      <c r="E137" t="s">
        <v>59</v>
      </c>
      <c r="F137" t="s">
        <v>737</v>
      </c>
      <c r="G137" s="12" t="s">
        <v>788</v>
      </c>
      <c r="H137" t="s">
        <v>356</v>
      </c>
      <c r="J137" t="s">
        <v>241</v>
      </c>
      <c r="L137" t="s">
        <v>338</v>
      </c>
      <c r="W137" s="6">
        <v>1</v>
      </c>
    </row>
    <row r="138" spans="1:25" x14ac:dyDescent="0.25">
      <c r="A138">
        <v>13</v>
      </c>
      <c r="B138" t="s">
        <v>335</v>
      </c>
      <c r="C138" t="s">
        <v>313</v>
      </c>
      <c r="D138" t="s">
        <v>336</v>
      </c>
      <c r="E138" t="s">
        <v>59</v>
      </c>
      <c r="F138" t="s">
        <v>737</v>
      </c>
      <c r="G138" s="12" t="s">
        <v>788</v>
      </c>
      <c r="H138" t="s">
        <v>341</v>
      </c>
      <c r="J138" t="s">
        <v>340</v>
      </c>
      <c r="L138" t="s">
        <v>338</v>
      </c>
      <c r="W138" s="6">
        <v>2</v>
      </c>
    </row>
    <row r="139" spans="1:25" x14ac:dyDescent="0.25">
      <c r="A139">
        <v>13</v>
      </c>
      <c r="B139" t="s">
        <v>335</v>
      </c>
      <c r="C139" t="s">
        <v>313</v>
      </c>
      <c r="D139" t="s">
        <v>336</v>
      </c>
      <c r="E139" t="s">
        <v>59</v>
      </c>
      <c r="F139" t="s">
        <v>737</v>
      </c>
      <c r="G139" s="12" t="s">
        <v>790</v>
      </c>
      <c r="H139" t="s">
        <v>793</v>
      </c>
      <c r="J139" t="s">
        <v>343</v>
      </c>
      <c r="L139" t="s">
        <v>342</v>
      </c>
      <c r="W139" s="6">
        <v>3</v>
      </c>
    </row>
    <row r="140" spans="1:25" x14ac:dyDescent="0.25">
      <c r="A140">
        <v>13</v>
      </c>
      <c r="B140" t="s">
        <v>335</v>
      </c>
      <c r="C140" t="s">
        <v>313</v>
      </c>
      <c r="D140" t="s">
        <v>336</v>
      </c>
      <c r="E140" t="s">
        <v>59</v>
      </c>
      <c r="F140" t="s">
        <v>737</v>
      </c>
      <c r="G140" s="12" t="s">
        <v>786</v>
      </c>
      <c r="H140" t="s">
        <v>794</v>
      </c>
      <c r="J140" t="s">
        <v>343</v>
      </c>
      <c r="L140" t="s">
        <v>342</v>
      </c>
      <c r="W140" s="6">
        <v>3</v>
      </c>
    </row>
    <row r="141" spans="1:25" x14ac:dyDescent="0.25">
      <c r="A141">
        <v>13</v>
      </c>
      <c r="B141" t="s">
        <v>335</v>
      </c>
      <c r="C141" t="s">
        <v>313</v>
      </c>
      <c r="D141" t="s">
        <v>336</v>
      </c>
      <c r="E141" t="s">
        <v>59</v>
      </c>
      <c r="F141" t="s">
        <v>737</v>
      </c>
      <c r="G141" s="12" t="s">
        <v>790</v>
      </c>
      <c r="H141" t="s">
        <v>795</v>
      </c>
      <c r="J141" t="s">
        <v>343</v>
      </c>
      <c r="L141" t="s">
        <v>342</v>
      </c>
      <c r="W141" s="6">
        <v>3</v>
      </c>
    </row>
    <row r="142" spans="1:25" x14ac:dyDescent="0.25">
      <c r="A142">
        <v>13</v>
      </c>
      <c r="B142" t="s">
        <v>335</v>
      </c>
      <c r="C142" t="s">
        <v>313</v>
      </c>
      <c r="D142" t="s">
        <v>336</v>
      </c>
      <c r="E142" t="s">
        <v>59</v>
      </c>
      <c r="F142" t="s">
        <v>737</v>
      </c>
      <c r="G142" s="12" t="s">
        <v>790</v>
      </c>
      <c r="H142" t="s">
        <v>796</v>
      </c>
      <c r="J142">
        <v>2</v>
      </c>
      <c r="L142" t="s">
        <v>345</v>
      </c>
      <c r="W142" s="6">
        <v>4</v>
      </c>
    </row>
    <row r="143" spans="1:25" x14ac:dyDescent="0.25">
      <c r="A143">
        <v>13</v>
      </c>
      <c r="B143" t="s">
        <v>335</v>
      </c>
      <c r="C143" t="s">
        <v>313</v>
      </c>
      <c r="D143" t="s">
        <v>336</v>
      </c>
      <c r="E143" t="s">
        <v>59</v>
      </c>
      <c r="F143" t="s">
        <v>737</v>
      </c>
      <c r="G143" s="12" t="s">
        <v>788</v>
      </c>
      <c r="H143" t="s">
        <v>356</v>
      </c>
      <c r="J143">
        <v>2</v>
      </c>
      <c r="L143" t="s">
        <v>345</v>
      </c>
      <c r="W143" s="6">
        <v>4</v>
      </c>
    </row>
    <row r="144" spans="1:25" x14ac:dyDescent="0.25">
      <c r="A144">
        <v>13</v>
      </c>
      <c r="B144" t="s">
        <v>335</v>
      </c>
      <c r="C144" t="s">
        <v>313</v>
      </c>
      <c r="D144" t="s">
        <v>336</v>
      </c>
      <c r="E144" t="s">
        <v>59</v>
      </c>
      <c r="F144" t="s">
        <v>737</v>
      </c>
      <c r="G144" s="12" t="s">
        <v>790</v>
      </c>
      <c r="H144" t="s">
        <v>793</v>
      </c>
      <c r="J144">
        <v>1</v>
      </c>
      <c r="L144" t="s">
        <v>347</v>
      </c>
      <c r="W144" s="6">
        <v>5</v>
      </c>
    </row>
    <row r="145" spans="1:23" x14ac:dyDescent="0.25">
      <c r="A145">
        <v>13</v>
      </c>
      <c r="B145" t="s">
        <v>335</v>
      </c>
      <c r="C145" t="s">
        <v>313</v>
      </c>
      <c r="D145" t="s">
        <v>336</v>
      </c>
      <c r="E145" t="s">
        <v>59</v>
      </c>
      <c r="F145" t="s">
        <v>737</v>
      </c>
      <c r="G145" s="12" t="s">
        <v>788</v>
      </c>
      <c r="H145" t="s">
        <v>356</v>
      </c>
      <c r="J145">
        <v>1</v>
      </c>
      <c r="L145" t="s">
        <v>347</v>
      </c>
      <c r="W145" s="6">
        <v>5</v>
      </c>
    </row>
    <row r="146" spans="1:23" x14ac:dyDescent="0.25">
      <c r="A146">
        <v>13</v>
      </c>
      <c r="B146" t="s">
        <v>335</v>
      </c>
      <c r="C146" t="s">
        <v>313</v>
      </c>
      <c r="D146" t="s">
        <v>336</v>
      </c>
      <c r="E146" t="s">
        <v>59</v>
      </c>
      <c r="F146" t="s">
        <v>737</v>
      </c>
      <c r="G146" s="12" t="s">
        <v>790</v>
      </c>
      <c r="H146" t="s">
        <v>793</v>
      </c>
      <c r="J146">
        <v>2</v>
      </c>
      <c r="L146" t="s">
        <v>345</v>
      </c>
      <c r="W146" s="6">
        <v>6</v>
      </c>
    </row>
    <row r="147" spans="1:23" x14ac:dyDescent="0.25">
      <c r="A147">
        <v>13</v>
      </c>
      <c r="B147" t="s">
        <v>335</v>
      </c>
      <c r="C147" t="s">
        <v>313</v>
      </c>
      <c r="D147" t="s">
        <v>336</v>
      </c>
      <c r="E147" t="s">
        <v>59</v>
      </c>
      <c r="F147" t="s">
        <v>737</v>
      </c>
      <c r="G147" s="12" t="s">
        <v>790</v>
      </c>
      <c r="H147" t="s">
        <v>797</v>
      </c>
      <c r="J147">
        <v>2</v>
      </c>
      <c r="L147" t="s">
        <v>345</v>
      </c>
      <c r="W147" s="6">
        <v>6</v>
      </c>
    </row>
    <row r="148" spans="1:23" x14ac:dyDescent="0.25">
      <c r="A148">
        <v>13</v>
      </c>
      <c r="B148" t="s">
        <v>335</v>
      </c>
      <c r="C148" t="s">
        <v>313</v>
      </c>
      <c r="D148" t="s">
        <v>336</v>
      </c>
      <c r="E148" t="s">
        <v>59</v>
      </c>
      <c r="F148" t="s">
        <v>737</v>
      </c>
      <c r="G148" s="12" t="s">
        <v>786</v>
      </c>
      <c r="H148" t="s">
        <v>794</v>
      </c>
      <c r="J148">
        <v>2</v>
      </c>
      <c r="L148" t="s">
        <v>347</v>
      </c>
      <c r="W148" s="6">
        <v>7</v>
      </c>
    </row>
    <row r="149" spans="1:23" x14ac:dyDescent="0.25">
      <c r="A149">
        <v>13</v>
      </c>
      <c r="B149" t="s">
        <v>335</v>
      </c>
      <c r="C149" t="s">
        <v>313</v>
      </c>
      <c r="D149" t="s">
        <v>336</v>
      </c>
      <c r="E149" t="s">
        <v>59</v>
      </c>
      <c r="F149" t="s">
        <v>737</v>
      </c>
      <c r="G149" s="12" t="s">
        <v>790</v>
      </c>
      <c r="H149" t="s">
        <v>798</v>
      </c>
      <c r="J149">
        <v>2</v>
      </c>
      <c r="L149" t="s">
        <v>347</v>
      </c>
      <c r="W149" s="6">
        <v>7</v>
      </c>
    </row>
    <row r="150" spans="1:23" x14ac:dyDescent="0.25">
      <c r="A150">
        <v>13</v>
      </c>
      <c r="B150" t="s">
        <v>335</v>
      </c>
      <c r="C150" t="s">
        <v>313</v>
      </c>
      <c r="D150" t="s">
        <v>336</v>
      </c>
      <c r="E150" t="s">
        <v>59</v>
      </c>
      <c r="F150" t="s">
        <v>737</v>
      </c>
      <c r="G150" s="12" t="s">
        <v>790</v>
      </c>
      <c r="H150" t="s">
        <v>799</v>
      </c>
      <c r="J150" t="s">
        <v>351</v>
      </c>
      <c r="L150" t="s">
        <v>347</v>
      </c>
      <c r="W150" s="6">
        <v>8</v>
      </c>
    </row>
    <row r="151" spans="1:23" x14ac:dyDescent="0.25">
      <c r="A151">
        <v>13</v>
      </c>
      <c r="B151" t="s">
        <v>335</v>
      </c>
      <c r="C151" t="s">
        <v>313</v>
      </c>
      <c r="D151" t="s">
        <v>336</v>
      </c>
      <c r="E151" t="s">
        <v>59</v>
      </c>
      <c r="F151" t="s">
        <v>737</v>
      </c>
      <c r="G151" s="12" t="s">
        <v>786</v>
      </c>
      <c r="H151" t="s">
        <v>794</v>
      </c>
      <c r="J151" t="s">
        <v>351</v>
      </c>
      <c r="L151" t="s">
        <v>347</v>
      </c>
      <c r="W151" s="6">
        <v>8</v>
      </c>
    </row>
    <row r="152" spans="1:23" x14ac:dyDescent="0.25">
      <c r="A152">
        <v>13</v>
      </c>
      <c r="B152" t="s">
        <v>335</v>
      </c>
      <c r="C152" t="s">
        <v>313</v>
      </c>
      <c r="D152" t="s">
        <v>336</v>
      </c>
      <c r="E152" t="s">
        <v>59</v>
      </c>
      <c r="F152" t="s">
        <v>737</v>
      </c>
      <c r="G152" s="12" t="s">
        <v>790</v>
      </c>
      <c r="H152" t="s">
        <v>795</v>
      </c>
      <c r="J152" t="s">
        <v>351</v>
      </c>
      <c r="L152" t="s">
        <v>347</v>
      </c>
      <c r="W152" s="6">
        <v>8</v>
      </c>
    </row>
    <row r="153" spans="1:23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730</v>
      </c>
      <c r="F153" s="1" t="s">
        <v>736</v>
      </c>
      <c r="G153" s="7" t="s">
        <v>4</v>
      </c>
      <c r="H153" s="1" t="s">
        <v>353</v>
      </c>
      <c r="I153" s="1" t="s">
        <v>354</v>
      </c>
      <c r="J153" s="1" t="s">
        <v>333</v>
      </c>
      <c r="L153" s="1" t="s">
        <v>332</v>
      </c>
    </row>
    <row r="154" spans="1:23" x14ac:dyDescent="0.25">
      <c r="A154">
        <v>13</v>
      </c>
      <c r="B154" t="s">
        <v>335</v>
      </c>
      <c r="C154" t="s">
        <v>313</v>
      </c>
      <c r="D154" t="s">
        <v>336</v>
      </c>
      <c r="E154" t="s">
        <v>59</v>
      </c>
      <c r="F154" t="s">
        <v>737</v>
      </c>
      <c r="G154" s="12" t="s">
        <v>786</v>
      </c>
      <c r="H154" t="s">
        <v>355</v>
      </c>
      <c r="I154" t="s">
        <v>356</v>
      </c>
      <c r="J154" t="s">
        <v>357</v>
      </c>
      <c r="L154" t="s">
        <v>709</v>
      </c>
    </row>
    <row r="155" spans="1:23" x14ac:dyDescent="0.25">
      <c r="A155">
        <v>13</v>
      </c>
      <c r="B155" t="s">
        <v>335</v>
      </c>
      <c r="C155" t="s">
        <v>313</v>
      </c>
      <c r="D155" t="s">
        <v>336</v>
      </c>
      <c r="E155" t="s">
        <v>59</v>
      </c>
      <c r="F155" t="s">
        <v>737</v>
      </c>
      <c r="G155" s="12" t="s">
        <v>786</v>
      </c>
      <c r="H155" t="s">
        <v>138</v>
      </c>
      <c r="I155" t="s">
        <v>358</v>
      </c>
      <c r="J155" t="s">
        <v>357</v>
      </c>
      <c r="L155" t="s">
        <v>359</v>
      </c>
    </row>
    <row r="156" spans="1:23" x14ac:dyDescent="0.25">
      <c r="A156">
        <v>13</v>
      </c>
      <c r="B156" t="s">
        <v>335</v>
      </c>
      <c r="C156" t="s">
        <v>313</v>
      </c>
      <c r="D156" t="s">
        <v>336</v>
      </c>
      <c r="E156" t="s">
        <v>59</v>
      </c>
      <c r="F156" t="s">
        <v>737</v>
      </c>
      <c r="G156" s="12" t="s">
        <v>786</v>
      </c>
      <c r="H156" t="s">
        <v>360</v>
      </c>
      <c r="I156" t="s">
        <v>361</v>
      </c>
      <c r="J156" t="s">
        <v>357</v>
      </c>
      <c r="L156" t="s">
        <v>362</v>
      </c>
    </row>
    <row r="157" spans="1:23" x14ac:dyDescent="0.25">
      <c r="A157">
        <v>13</v>
      </c>
      <c r="B157" t="s">
        <v>335</v>
      </c>
      <c r="C157" t="s">
        <v>313</v>
      </c>
      <c r="D157" t="s">
        <v>336</v>
      </c>
      <c r="E157" t="s">
        <v>59</v>
      </c>
      <c r="F157" t="s">
        <v>737</v>
      </c>
      <c r="G157" s="12" t="s">
        <v>788</v>
      </c>
      <c r="H157" t="s">
        <v>363</v>
      </c>
      <c r="I157" t="s">
        <v>356</v>
      </c>
      <c r="J157" t="s">
        <v>364</v>
      </c>
      <c r="L157" t="s">
        <v>709</v>
      </c>
    </row>
    <row r="158" spans="1:23" x14ac:dyDescent="0.25">
      <c r="A158">
        <v>13</v>
      </c>
      <c r="B158" t="s">
        <v>335</v>
      </c>
      <c r="C158" t="s">
        <v>313</v>
      </c>
      <c r="D158" t="s">
        <v>336</v>
      </c>
      <c r="E158" t="s">
        <v>59</v>
      </c>
      <c r="F158" t="s">
        <v>737</v>
      </c>
      <c r="G158" s="12" t="s">
        <v>788</v>
      </c>
      <c r="H158" t="s">
        <v>363</v>
      </c>
      <c r="I158" t="s">
        <v>358</v>
      </c>
      <c r="J158">
        <v>2</v>
      </c>
      <c r="L158" t="s">
        <v>359</v>
      </c>
    </row>
    <row r="159" spans="1:23" x14ac:dyDescent="0.25">
      <c r="A159">
        <v>13</v>
      </c>
      <c r="B159" t="s">
        <v>335</v>
      </c>
      <c r="C159" t="s">
        <v>313</v>
      </c>
      <c r="D159" t="s">
        <v>336</v>
      </c>
      <c r="E159" t="s">
        <v>59</v>
      </c>
      <c r="F159" t="s">
        <v>737</v>
      </c>
      <c r="G159" s="12" t="s">
        <v>788</v>
      </c>
      <c r="H159" t="s">
        <v>363</v>
      </c>
      <c r="I159" t="s">
        <v>365</v>
      </c>
      <c r="J159">
        <v>2</v>
      </c>
      <c r="L159" t="s">
        <v>362</v>
      </c>
    </row>
    <row r="160" spans="1:23" x14ac:dyDescent="0.25">
      <c r="A160">
        <v>13</v>
      </c>
      <c r="B160" t="s">
        <v>335</v>
      </c>
      <c r="C160" t="s">
        <v>313</v>
      </c>
      <c r="D160" t="s">
        <v>336</v>
      </c>
      <c r="E160" t="s">
        <v>59</v>
      </c>
      <c r="F160" t="s">
        <v>737</v>
      </c>
      <c r="G160" s="12" t="s">
        <v>790</v>
      </c>
      <c r="H160" t="s">
        <v>182</v>
      </c>
      <c r="I160" t="s">
        <v>356</v>
      </c>
      <c r="J160" t="s">
        <v>366</v>
      </c>
      <c r="L160" t="s">
        <v>709</v>
      </c>
    </row>
    <row r="161" spans="1:16" x14ac:dyDescent="0.25">
      <c r="A161">
        <v>13</v>
      </c>
      <c r="B161" t="s">
        <v>335</v>
      </c>
      <c r="C161" t="s">
        <v>313</v>
      </c>
      <c r="D161" t="s">
        <v>336</v>
      </c>
      <c r="E161" t="s">
        <v>59</v>
      </c>
      <c r="F161" t="s">
        <v>737</v>
      </c>
      <c r="G161" s="12" t="s">
        <v>790</v>
      </c>
      <c r="H161" t="s">
        <v>182</v>
      </c>
      <c r="I161" t="s">
        <v>367</v>
      </c>
      <c r="J161" t="s">
        <v>366</v>
      </c>
      <c r="L161" t="s">
        <v>709</v>
      </c>
    </row>
    <row r="162" spans="1:16" x14ac:dyDescent="0.25">
      <c r="A162">
        <v>13</v>
      </c>
      <c r="B162" t="s">
        <v>335</v>
      </c>
      <c r="C162" t="s">
        <v>313</v>
      </c>
      <c r="D162" t="s">
        <v>336</v>
      </c>
      <c r="E162" t="s">
        <v>59</v>
      </c>
      <c r="F162" t="s">
        <v>737</v>
      </c>
      <c r="G162" s="12" t="s">
        <v>790</v>
      </c>
      <c r="H162" t="s">
        <v>182</v>
      </c>
      <c r="I162" t="s">
        <v>358</v>
      </c>
      <c r="J162" t="s">
        <v>368</v>
      </c>
      <c r="L162" t="s">
        <v>359</v>
      </c>
    </row>
    <row r="163" spans="1:16" x14ac:dyDescent="0.25">
      <c r="A163">
        <v>13</v>
      </c>
      <c r="B163" t="s">
        <v>335</v>
      </c>
      <c r="C163" t="s">
        <v>313</v>
      </c>
      <c r="D163" t="s">
        <v>336</v>
      </c>
      <c r="E163" t="s">
        <v>59</v>
      </c>
      <c r="F163" t="s">
        <v>737</v>
      </c>
      <c r="G163" s="12" t="s">
        <v>790</v>
      </c>
      <c r="H163" t="s">
        <v>182</v>
      </c>
      <c r="I163" t="s">
        <v>365</v>
      </c>
      <c r="J163">
        <v>2</v>
      </c>
      <c r="L163" t="s">
        <v>362</v>
      </c>
    </row>
    <row r="164" spans="1:16" x14ac:dyDescent="0.25">
      <c r="A164">
        <v>13</v>
      </c>
      <c r="B164" t="s">
        <v>335</v>
      </c>
      <c r="C164" t="s">
        <v>313</v>
      </c>
      <c r="D164" t="s">
        <v>336</v>
      </c>
      <c r="E164" t="s">
        <v>59</v>
      </c>
      <c r="F164" t="s">
        <v>737</v>
      </c>
      <c r="G164" s="12" t="s">
        <v>790</v>
      </c>
      <c r="H164" t="s">
        <v>369</v>
      </c>
      <c r="I164" t="s">
        <v>356</v>
      </c>
      <c r="J164" t="s">
        <v>370</v>
      </c>
      <c r="L164" t="s">
        <v>709</v>
      </c>
    </row>
    <row r="165" spans="1:16" x14ac:dyDescent="0.25">
      <c r="A165">
        <v>13</v>
      </c>
      <c r="B165" t="s">
        <v>335</v>
      </c>
      <c r="C165" t="s">
        <v>313</v>
      </c>
      <c r="D165" t="s">
        <v>336</v>
      </c>
      <c r="E165" t="s">
        <v>59</v>
      </c>
      <c r="F165" t="s">
        <v>737</v>
      </c>
      <c r="G165" s="12" t="s">
        <v>790</v>
      </c>
      <c r="H165" t="s">
        <v>369</v>
      </c>
      <c r="I165" t="s">
        <v>367</v>
      </c>
      <c r="J165">
        <v>5</v>
      </c>
      <c r="L165" t="s">
        <v>359</v>
      </c>
    </row>
    <row r="166" spans="1:16" x14ac:dyDescent="0.25">
      <c r="A166">
        <v>13</v>
      </c>
      <c r="B166" t="s">
        <v>335</v>
      </c>
      <c r="C166" t="s">
        <v>313</v>
      </c>
      <c r="D166" t="s">
        <v>336</v>
      </c>
      <c r="E166" t="s">
        <v>59</v>
      </c>
      <c r="F166" t="s">
        <v>737</v>
      </c>
      <c r="G166" s="12" t="s">
        <v>790</v>
      </c>
      <c r="H166" t="s">
        <v>369</v>
      </c>
      <c r="I166" t="s">
        <v>358</v>
      </c>
      <c r="J166" t="s">
        <v>368</v>
      </c>
      <c r="L166" t="s">
        <v>359</v>
      </c>
    </row>
    <row r="167" spans="1:16" x14ac:dyDescent="0.25">
      <c r="A167">
        <v>13</v>
      </c>
      <c r="B167" t="s">
        <v>335</v>
      </c>
      <c r="C167" t="s">
        <v>313</v>
      </c>
      <c r="D167" t="s">
        <v>336</v>
      </c>
      <c r="E167" t="s">
        <v>59</v>
      </c>
      <c r="F167" t="s">
        <v>737</v>
      </c>
      <c r="G167" s="12" t="s">
        <v>790</v>
      </c>
      <c r="H167" t="s">
        <v>369</v>
      </c>
      <c r="I167" t="s">
        <v>365</v>
      </c>
      <c r="J167" t="s">
        <v>371</v>
      </c>
      <c r="L167" t="s">
        <v>362</v>
      </c>
    </row>
    <row r="168" spans="1:16" x14ac:dyDescent="0.25">
      <c r="A168">
        <v>13</v>
      </c>
      <c r="B168" t="s">
        <v>335</v>
      </c>
      <c r="C168" t="s">
        <v>313</v>
      </c>
      <c r="D168" t="s">
        <v>336</v>
      </c>
      <c r="E168" t="s">
        <v>59</v>
      </c>
      <c r="F168" t="s">
        <v>737</v>
      </c>
      <c r="G168" s="12" t="s">
        <v>790</v>
      </c>
      <c r="H168" t="s">
        <v>369</v>
      </c>
      <c r="I168" t="s">
        <v>372</v>
      </c>
      <c r="J168">
        <v>5</v>
      </c>
      <c r="L168" t="s">
        <v>362</v>
      </c>
    </row>
    <row r="169" spans="1:16" x14ac:dyDescent="0.25">
      <c r="A169">
        <v>13</v>
      </c>
      <c r="B169" t="s">
        <v>335</v>
      </c>
      <c r="C169" t="s">
        <v>313</v>
      </c>
      <c r="D169" t="s">
        <v>336</v>
      </c>
      <c r="E169" t="s">
        <v>59</v>
      </c>
      <c r="F169" t="s">
        <v>737</v>
      </c>
      <c r="G169" s="12" t="s">
        <v>788</v>
      </c>
      <c r="H169" t="s">
        <v>373</v>
      </c>
      <c r="I169" t="s">
        <v>356</v>
      </c>
      <c r="J169" t="s">
        <v>374</v>
      </c>
      <c r="L169" t="s">
        <v>709</v>
      </c>
    </row>
    <row r="170" spans="1:16" x14ac:dyDescent="0.25">
      <c r="A170">
        <v>13</v>
      </c>
      <c r="B170" t="s">
        <v>335</v>
      </c>
      <c r="C170" t="s">
        <v>313</v>
      </c>
      <c r="D170" t="s">
        <v>336</v>
      </c>
      <c r="E170" t="s">
        <v>59</v>
      </c>
      <c r="F170" t="s">
        <v>737</v>
      </c>
      <c r="G170" s="12" t="s">
        <v>788</v>
      </c>
      <c r="H170" t="s">
        <v>373</v>
      </c>
      <c r="I170" t="s">
        <v>358</v>
      </c>
      <c r="J170" t="s">
        <v>375</v>
      </c>
      <c r="L170" t="s">
        <v>359</v>
      </c>
    </row>
    <row r="171" spans="1:16" x14ac:dyDescent="0.25">
      <c r="A171">
        <v>13</v>
      </c>
      <c r="B171" t="s">
        <v>335</v>
      </c>
      <c r="C171" t="s">
        <v>313</v>
      </c>
      <c r="D171" t="s">
        <v>336</v>
      </c>
      <c r="E171" t="s">
        <v>59</v>
      </c>
      <c r="F171" t="s">
        <v>737</v>
      </c>
      <c r="G171" s="12" t="s">
        <v>788</v>
      </c>
      <c r="H171" t="s">
        <v>373</v>
      </c>
      <c r="I171" t="s">
        <v>365</v>
      </c>
      <c r="J171" t="s">
        <v>371</v>
      </c>
      <c r="L171" t="s">
        <v>362</v>
      </c>
    </row>
    <row r="172" spans="1:16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730</v>
      </c>
      <c r="F172" s="1" t="s">
        <v>736</v>
      </c>
      <c r="G172" s="7" t="s">
        <v>4</v>
      </c>
      <c r="H172" s="1" t="s">
        <v>376</v>
      </c>
      <c r="J172" s="1" t="s">
        <v>377</v>
      </c>
      <c r="L172" s="1" t="s">
        <v>332</v>
      </c>
      <c r="N172" s="1" t="s">
        <v>379</v>
      </c>
      <c r="P172" s="1" t="s">
        <v>378</v>
      </c>
    </row>
    <row r="173" spans="1:16" x14ac:dyDescent="0.25">
      <c r="A173">
        <v>13</v>
      </c>
      <c r="B173" t="s">
        <v>335</v>
      </c>
      <c r="C173" t="s">
        <v>313</v>
      </c>
      <c r="D173" t="s">
        <v>336</v>
      </c>
      <c r="E173" t="s">
        <v>337</v>
      </c>
      <c r="F173" t="s">
        <v>27</v>
      </c>
      <c r="G173" s="12" t="s">
        <v>789</v>
      </c>
      <c r="H173" t="s">
        <v>41</v>
      </c>
      <c r="J173" t="s">
        <v>381</v>
      </c>
      <c r="L173">
        <v>99</v>
      </c>
      <c r="N173" t="s">
        <v>383</v>
      </c>
      <c r="P173" t="s">
        <v>382</v>
      </c>
    </row>
    <row r="174" spans="1:16" x14ac:dyDescent="0.25">
      <c r="A174">
        <v>13</v>
      </c>
      <c r="B174" t="s">
        <v>335</v>
      </c>
      <c r="C174" t="s">
        <v>313</v>
      </c>
      <c r="D174" t="s">
        <v>336</v>
      </c>
      <c r="E174" t="s">
        <v>337</v>
      </c>
      <c r="F174" t="s">
        <v>27</v>
      </c>
      <c r="G174" s="12" t="s">
        <v>789</v>
      </c>
      <c r="H174" t="s">
        <v>801</v>
      </c>
      <c r="J174" t="s">
        <v>381</v>
      </c>
      <c r="L174">
        <v>99</v>
      </c>
      <c r="N174" t="s">
        <v>383</v>
      </c>
      <c r="P174" t="s">
        <v>382</v>
      </c>
    </row>
    <row r="175" spans="1:16" x14ac:dyDescent="0.25">
      <c r="A175">
        <v>13</v>
      </c>
      <c r="B175" t="s">
        <v>335</v>
      </c>
      <c r="C175" t="s">
        <v>313</v>
      </c>
      <c r="D175" t="s">
        <v>336</v>
      </c>
      <c r="E175" t="s">
        <v>337</v>
      </c>
      <c r="F175" t="s">
        <v>27</v>
      </c>
      <c r="G175" s="12" t="s">
        <v>790</v>
      </c>
      <c r="H175" t="s">
        <v>802</v>
      </c>
      <c r="J175" t="s">
        <v>381</v>
      </c>
      <c r="L175">
        <v>99</v>
      </c>
      <c r="N175" t="s">
        <v>383</v>
      </c>
      <c r="P175" t="s">
        <v>382</v>
      </c>
    </row>
    <row r="176" spans="1:16" x14ac:dyDescent="0.25">
      <c r="A176">
        <v>13</v>
      </c>
      <c r="B176" t="s">
        <v>335</v>
      </c>
      <c r="C176" t="s">
        <v>313</v>
      </c>
      <c r="D176" t="s">
        <v>336</v>
      </c>
      <c r="E176" t="s">
        <v>337</v>
      </c>
      <c r="F176" t="s">
        <v>27</v>
      </c>
      <c r="G176" s="12" t="s">
        <v>789</v>
      </c>
      <c r="H176" t="s">
        <v>384</v>
      </c>
      <c r="J176" t="s">
        <v>29</v>
      </c>
      <c r="L176" t="s">
        <v>347</v>
      </c>
      <c r="N176" t="s">
        <v>383</v>
      </c>
      <c r="P176" t="s">
        <v>385</v>
      </c>
    </row>
    <row r="177" spans="1:25" x14ac:dyDescent="0.25">
      <c r="A177">
        <v>13</v>
      </c>
      <c r="B177" t="s">
        <v>335</v>
      </c>
      <c r="C177" t="s">
        <v>313</v>
      </c>
      <c r="D177" t="s">
        <v>336</v>
      </c>
      <c r="E177" t="s">
        <v>337</v>
      </c>
      <c r="F177" t="s">
        <v>27</v>
      </c>
      <c r="G177" s="12" t="s">
        <v>788</v>
      </c>
      <c r="H177" t="s">
        <v>386</v>
      </c>
      <c r="J177" t="s">
        <v>163</v>
      </c>
      <c r="L177" t="s">
        <v>387</v>
      </c>
      <c r="N177" t="s">
        <v>389</v>
      </c>
      <c r="P177" t="s">
        <v>388</v>
      </c>
    </row>
    <row r="178" spans="1:25" x14ac:dyDescent="0.25">
      <c r="A178">
        <v>13</v>
      </c>
      <c r="B178" t="s">
        <v>335</v>
      </c>
      <c r="C178" t="s">
        <v>313</v>
      </c>
      <c r="D178" t="s">
        <v>336</v>
      </c>
      <c r="E178" t="s">
        <v>337</v>
      </c>
      <c r="F178" t="s">
        <v>27</v>
      </c>
      <c r="G178" s="12" t="s">
        <v>790</v>
      </c>
      <c r="H178" t="s">
        <v>390</v>
      </c>
      <c r="J178" t="s">
        <v>170</v>
      </c>
      <c r="L178" t="s">
        <v>347</v>
      </c>
      <c r="N178" t="s">
        <v>392</v>
      </c>
      <c r="P178" t="s">
        <v>391</v>
      </c>
    </row>
    <row r="179" spans="1:25" x14ac:dyDescent="0.25">
      <c r="A179">
        <v>13</v>
      </c>
      <c r="B179" t="s">
        <v>335</v>
      </c>
      <c r="C179" t="s">
        <v>313</v>
      </c>
      <c r="D179" t="s">
        <v>336</v>
      </c>
      <c r="E179" t="s">
        <v>337</v>
      </c>
      <c r="F179" t="s">
        <v>27</v>
      </c>
      <c r="G179" s="12" t="s">
        <v>790</v>
      </c>
      <c r="H179" t="s">
        <v>393</v>
      </c>
      <c r="J179" t="s">
        <v>33</v>
      </c>
      <c r="L179" t="s">
        <v>347</v>
      </c>
      <c r="N179" t="s">
        <v>392</v>
      </c>
      <c r="P179" t="s">
        <v>394</v>
      </c>
    </row>
    <row r="180" spans="1:2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730</v>
      </c>
      <c r="F181" s="1" t="s">
        <v>736</v>
      </c>
      <c r="G181" s="7" t="s">
        <v>4</v>
      </c>
      <c r="H181" s="1" t="s">
        <v>717</v>
      </c>
      <c r="J181" s="1" t="s">
        <v>404</v>
      </c>
      <c r="L181" s="1" t="s">
        <v>406</v>
      </c>
      <c r="M181" s="1" t="s">
        <v>429</v>
      </c>
      <c r="N181" s="1" t="s">
        <v>408</v>
      </c>
      <c r="Q181" s="1" t="s">
        <v>412</v>
      </c>
      <c r="R181" s="1" t="s">
        <v>417</v>
      </c>
      <c r="V181" s="1" t="s">
        <v>4</v>
      </c>
      <c r="W181" s="5" t="s">
        <v>422</v>
      </c>
      <c r="X181" s="5" t="s">
        <v>425</v>
      </c>
      <c r="Y181" s="5" t="s">
        <v>428</v>
      </c>
    </row>
    <row r="182" spans="1:25" x14ac:dyDescent="0.25">
      <c r="A182">
        <v>14</v>
      </c>
      <c r="B182" t="s">
        <v>400</v>
      </c>
      <c r="C182" t="s">
        <v>313</v>
      </c>
      <c r="D182" t="s">
        <v>401</v>
      </c>
      <c r="E182" t="s">
        <v>402</v>
      </c>
      <c r="F182" t="s">
        <v>27</v>
      </c>
      <c r="G182" s="12" t="s">
        <v>788</v>
      </c>
      <c r="H182" t="s">
        <v>32</v>
      </c>
      <c r="J182" t="s">
        <v>29</v>
      </c>
      <c r="L182" t="s">
        <v>407</v>
      </c>
      <c r="M182" t="s">
        <v>407</v>
      </c>
      <c r="N182" t="s">
        <v>409</v>
      </c>
      <c r="Q182" t="s">
        <v>413</v>
      </c>
      <c r="R182" t="s">
        <v>418</v>
      </c>
      <c r="V182" t="s">
        <v>403</v>
      </c>
      <c r="W182" s="6" t="s">
        <v>423</v>
      </c>
      <c r="X182" s="6" t="s">
        <v>426</v>
      </c>
      <c r="Y182" s="6" t="s">
        <v>427</v>
      </c>
    </row>
    <row r="183" spans="1:25" x14ac:dyDescent="0.25">
      <c r="A183">
        <v>14</v>
      </c>
      <c r="B183" t="s">
        <v>400</v>
      </c>
      <c r="C183" t="s">
        <v>313</v>
      </c>
      <c r="D183" t="s">
        <v>401</v>
      </c>
      <c r="E183" t="s">
        <v>402</v>
      </c>
      <c r="F183" t="s">
        <v>27</v>
      </c>
      <c r="G183" s="12" t="s">
        <v>790</v>
      </c>
      <c r="H183" t="s">
        <v>397</v>
      </c>
      <c r="J183" t="s">
        <v>33</v>
      </c>
      <c r="L183" t="s">
        <v>345</v>
      </c>
      <c r="M183" t="s">
        <v>345</v>
      </c>
      <c r="N183" t="s">
        <v>409</v>
      </c>
      <c r="Q183" t="s">
        <v>414</v>
      </c>
      <c r="R183" t="s">
        <v>419</v>
      </c>
      <c r="V183" t="s">
        <v>403</v>
      </c>
      <c r="W183" s="6" t="s">
        <v>423</v>
      </c>
      <c r="X183" s="6" t="s">
        <v>426</v>
      </c>
      <c r="Y183" s="6" t="s">
        <v>424</v>
      </c>
    </row>
    <row r="184" spans="1:25" x14ac:dyDescent="0.25">
      <c r="A184">
        <v>14</v>
      </c>
      <c r="B184" t="s">
        <v>400</v>
      </c>
      <c r="C184" t="s">
        <v>313</v>
      </c>
      <c r="D184" t="s">
        <v>401</v>
      </c>
      <c r="E184" t="s">
        <v>402</v>
      </c>
      <c r="F184" t="s">
        <v>27</v>
      </c>
      <c r="G184" s="12" t="s">
        <v>788</v>
      </c>
      <c r="H184" t="s">
        <v>398</v>
      </c>
      <c r="J184" t="s">
        <v>33</v>
      </c>
      <c r="L184" t="s">
        <v>362</v>
      </c>
      <c r="M184" t="s">
        <v>362</v>
      </c>
      <c r="N184" t="s">
        <v>410</v>
      </c>
      <c r="Q184" t="s">
        <v>415</v>
      </c>
      <c r="R184" t="s">
        <v>420</v>
      </c>
      <c r="V184" t="s">
        <v>403</v>
      </c>
      <c r="W184" s="6" t="s">
        <v>424</v>
      </c>
      <c r="X184" s="6" t="s">
        <v>427</v>
      </c>
      <c r="Y184" s="6" t="s">
        <v>424</v>
      </c>
    </row>
    <row r="185" spans="1:25" x14ac:dyDescent="0.25">
      <c r="A185">
        <v>14</v>
      </c>
      <c r="B185" t="s">
        <v>400</v>
      </c>
      <c r="C185" t="s">
        <v>313</v>
      </c>
      <c r="D185" t="s">
        <v>401</v>
      </c>
      <c r="E185" t="s">
        <v>402</v>
      </c>
      <c r="F185" t="s">
        <v>27</v>
      </c>
      <c r="G185" s="12" t="s">
        <v>788</v>
      </c>
      <c r="H185" t="s">
        <v>399</v>
      </c>
      <c r="J185" t="s">
        <v>35</v>
      </c>
      <c r="L185" t="s">
        <v>347</v>
      </c>
      <c r="M185" t="s">
        <v>347</v>
      </c>
      <c r="N185" t="s">
        <v>411</v>
      </c>
      <c r="Q185" t="s">
        <v>416</v>
      </c>
      <c r="R185" t="s">
        <v>421</v>
      </c>
      <c r="V185" t="s">
        <v>403</v>
      </c>
      <c r="W185" s="6" t="s">
        <v>424</v>
      </c>
      <c r="X185" s="6" t="s">
        <v>427</v>
      </c>
      <c r="Y185" s="6" t="s">
        <v>426</v>
      </c>
    </row>
    <row r="186" spans="1:25" x14ac:dyDescent="0.25">
      <c r="A186">
        <v>14</v>
      </c>
      <c r="B186" t="s">
        <v>400</v>
      </c>
      <c r="C186" t="s">
        <v>313</v>
      </c>
      <c r="D186" t="s">
        <v>401</v>
      </c>
      <c r="E186" t="s">
        <v>402</v>
      </c>
      <c r="F186" t="s">
        <v>27</v>
      </c>
      <c r="G186" s="12" t="s">
        <v>788</v>
      </c>
      <c r="H186" t="s">
        <v>138</v>
      </c>
      <c r="J186" t="s">
        <v>405</v>
      </c>
      <c r="L186" t="s">
        <v>347</v>
      </c>
      <c r="M186" t="s">
        <v>347</v>
      </c>
      <c r="N186" t="s">
        <v>411</v>
      </c>
      <c r="Q186" t="s">
        <v>414</v>
      </c>
      <c r="R186" t="s">
        <v>421</v>
      </c>
      <c r="V186" t="s">
        <v>403</v>
      </c>
      <c r="W186" s="6" t="s">
        <v>424</v>
      </c>
      <c r="X186" s="6" t="s">
        <v>427</v>
      </c>
      <c r="Y186" s="6" t="s">
        <v>426</v>
      </c>
    </row>
    <row r="187" spans="1:25" x14ac:dyDescent="0.25">
      <c r="A187">
        <v>14</v>
      </c>
      <c r="B187" t="s">
        <v>400</v>
      </c>
      <c r="C187" t="s">
        <v>313</v>
      </c>
      <c r="D187" t="s">
        <v>401</v>
      </c>
      <c r="E187" t="s">
        <v>402</v>
      </c>
      <c r="F187" t="s">
        <v>27</v>
      </c>
      <c r="G187" s="12" t="s">
        <v>785</v>
      </c>
      <c r="H187" t="s">
        <v>430</v>
      </c>
      <c r="J187" t="s">
        <v>33</v>
      </c>
      <c r="L187" t="s">
        <v>434</v>
      </c>
      <c r="M187" t="s">
        <v>434</v>
      </c>
      <c r="N187" t="s">
        <v>411</v>
      </c>
      <c r="Q187" t="s">
        <v>437</v>
      </c>
      <c r="R187" t="s">
        <v>439</v>
      </c>
      <c r="V187" t="s">
        <v>433</v>
      </c>
      <c r="W187" s="6" t="s">
        <v>426</v>
      </c>
      <c r="X187" s="6" t="s">
        <v>423</v>
      </c>
      <c r="Y187" s="6" t="s">
        <v>423</v>
      </c>
    </row>
    <row r="188" spans="1:25" x14ac:dyDescent="0.25">
      <c r="A188">
        <v>14</v>
      </c>
      <c r="B188" t="s">
        <v>400</v>
      </c>
      <c r="C188" t="s">
        <v>313</v>
      </c>
      <c r="D188" t="s">
        <v>401</v>
      </c>
      <c r="E188" t="s">
        <v>402</v>
      </c>
      <c r="F188" t="s">
        <v>27</v>
      </c>
      <c r="G188" s="12" t="s">
        <v>785</v>
      </c>
      <c r="H188" t="s">
        <v>431</v>
      </c>
      <c r="J188" t="s">
        <v>35</v>
      </c>
      <c r="L188" t="s">
        <v>347</v>
      </c>
      <c r="M188" t="s">
        <v>345</v>
      </c>
      <c r="N188" t="s">
        <v>436</v>
      </c>
      <c r="Q188" t="s">
        <v>438</v>
      </c>
      <c r="R188" t="s">
        <v>418</v>
      </c>
      <c r="V188" t="s">
        <v>433</v>
      </c>
      <c r="W188" s="6" t="s">
        <v>427</v>
      </c>
      <c r="X188" s="6" t="s">
        <v>426</v>
      </c>
      <c r="Y188" s="6" t="s">
        <v>424</v>
      </c>
    </row>
    <row r="189" spans="1:25" x14ac:dyDescent="0.25">
      <c r="A189">
        <v>14</v>
      </c>
      <c r="B189" t="s">
        <v>400</v>
      </c>
      <c r="C189" t="s">
        <v>313</v>
      </c>
      <c r="D189" t="s">
        <v>401</v>
      </c>
      <c r="E189" t="s">
        <v>402</v>
      </c>
      <c r="F189" t="s">
        <v>27</v>
      </c>
      <c r="G189" s="12" t="s">
        <v>785</v>
      </c>
      <c r="H189" t="s">
        <v>432</v>
      </c>
      <c r="J189" t="s">
        <v>35</v>
      </c>
      <c r="L189" t="s">
        <v>435</v>
      </c>
      <c r="M189" t="s">
        <v>387</v>
      </c>
      <c r="N189" t="s">
        <v>436</v>
      </c>
      <c r="Q189" t="s">
        <v>416</v>
      </c>
      <c r="R189" t="s">
        <v>440</v>
      </c>
      <c r="V189" t="s">
        <v>433</v>
      </c>
      <c r="W189" s="6" t="s">
        <v>424</v>
      </c>
      <c r="X189" s="6" t="s">
        <v>424</v>
      </c>
      <c r="Y189" s="6" t="s">
        <v>427</v>
      </c>
    </row>
    <row r="190" spans="1:25" x14ac:dyDescent="0.25">
      <c r="A190">
        <v>14</v>
      </c>
      <c r="B190" t="s">
        <v>400</v>
      </c>
      <c r="C190" t="s">
        <v>313</v>
      </c>
      <c r="D190" t="s">
        <v>401</v>
      </c>
      <c r="E190" t="s">
        <v>402</v>
      </c>
      <c r="F190" t="s">
        <v>27</v>
      </c>
      <c r="G190" s="12" t="s">
        <v>744</v>
      </c>
      <c r="H190" t="s">
        <v>51</v>
      </c>
      <c r="J190" t="s">
        <v>33</v>
      </c>
      <c r="L190" t="s">
        <v>387</v>
      </c>
      <c r="M190" t="s">
        <v>435</v>
      </c>
      <c r="N190" t="s">
        <v>444</v>
      </c>
      <c r="Q190" t="s">
        <v>447</v>
      </c>
      <c r="R190" t="s">
        <v>418</v>
      </c>
      <c r="V190" t="s">
        <v>443</v>
      </c>
      <c r="W190" s="6" t="s">
        <v>426</v>
      </c>
      <c r="X190" s="6" t="s">
        <v>426</v>
      </c>
      <c r="Y190" s="6" t="s">
        <v>426</v>
      </c>
    </row>
    <row r="191" spans="1:25" x14ac:dyDescent="0.25">
      <c r="A191">
        <v>14</v>
      </c>
      <c r="B191" t="s">
        <v>400</v>
      </c>
      <c r="C191" t="s">
        <v>313</v>
      </c>
      <c r="D191" t="s">
        <v>401</v>
      </c>
      <c r="E191" t="s">
        <v>402</v>
      </c>
      <c r="F191" t="s">
        <v>27</v>
      </c>
      <c r="G191" s="12" t="s">
        <v>744</v>
      </c>
      <c r="H191" t="s">
        <v>441</v>
      </c>
      <c r="J191" t="s">
        <v>33</v>
      </c>
      <c r="L191" t="s">
        <v>345</v>
      </c>
      <c r="M191" t="s">
        <v>347</v>
      </c>
      <c r="N191" t="s">
        <v>445</v>
      </c>
      <c r="Q191" t="s">
        <v>448</v>
      </c>
      <c r="R191" t="s">
        <v>418</v>
      </c>
      <c r="V191" t="s">
        <v>443</v>
      </c>
      <c r="W191" s="6" t="s">
        <v>426</v>
      </c>
      <c r="X191" s="6" t="s">
        <v>426</v>
      </c>
      <c r="Y191" s="6" t="s">
        <v>426</v>
      </c>
    </row>
    <row r="192" spans="1:25" x14ac:dyDescent="0.25">
      <c r="A192">
        <v>14</v>
      </c>
      <c r="B192" t="s">
        <v>400</v>
      </c>
      <c r="C192" t="s">
        <v>313</v>
      </c>
      <c r="D192" t="s">
        <v>401</v>
      </c>
      <c r="E192" t="s">
        <v>402</v>
      </c>
      <c r="F192" t="s">
        <v>27</v>
      </c>
      <c r="G192" s="12" t="s">
        <v>744</v>
      </c>
      <c r="H192" t="s">
        <v>442</v>
      </c>
      <c r="J192" t="s">
        <v>29</v>
      </c>
      <c r="L192" t="s">
        <v>407</v>
      </c>
      <c r="M192">
        <v>95</v>
      </c>
      <c r="N192" t="s">
        <v>446</v>
      </c>
      <c r="Q192" t="s">
        <v>448</v>
      </c>
      <c r="R192" t="s">
        <v>418</v>
      </c>
      <c r="V192" t="s">
        <v>443</v>
      </c>
      <c r="W192" s="6" t="s">
        <v>426</v>
      </c>
      <c r="X192" s="6" t="s">
        <v>426</v>
      </c>
      <c r="Y192" s="6" t="s">
        <v>426</v>
      </c>
    </row>
    <row r="193" spans="1:25" x14ac:dyDescent="0.25">
      <c r="A193">
        <v>14</v>
      </c>
      <c r="B193" t="s">
        <v>400</v>
      </c>
      <c r="C193" t="s">
        <v>313</v>
      </c>
      <c r="D193" t="s">
        <v>401</v>
      </c>
      <c r="E193" t="s">
        <v>402</v>
      </c>
      <c r="F193" t="s">
        <v>27</v>
      </c>
      <c r="G193" s="12" t="s">
        <v>785</v>
      </c>
      <c r="H193" t="s">
        <v>449</v>
      </c>
      <c r="J193" t="s">
        <v>33</v>
      </c>
      <c r="L193" t="s">
        <v>453</v>
      </c>
      <c r="M193">
        <v>95</v>
      </c>
      <c r="N193" t="s">
        <v>455</v>
      </c>
      <c r="Q193" t="s">
        <v>458</v>
      </c>
      <c r="R193" t="s">
        <v>460</v>
      </c>
      <c r="V193" t="s">
        <v>452</v>
      </c>
      <c r="W193" s="6" t="s">
        <v>423</v>
      </c>
      <c r="X193" s="6" t="s">
        <v>423</v>
      </c>
      <c r="Y193" s="6" t="s">
        <v>427</v>
      </c>
    </row>
    <row r="194" spans="1:25" x14ac:dyDescent="0.25">
      <c r="A194">
        <v>14</v>
      </c>
      <c r="B194" t="s">
        <v>400</v>
      </c>
      <c r="C194" t="s">
        <v>313</v>
      </c>
      <c r="D194" t="s">
        <v>401</v>
      </c>
      <c r="E194" t="s">
        <v>402</v>
      </c>
      <c r="F194" t="s">
        <v>27</v>
      </c>
      <c r="G194" s="12" t="s">
        <v>785</v>
      </c>
      <c r="H194" t="s">
        <v>450</v>
      </c>
      <c r="J194" t="s">
        <v>35</v>
      </c>
      <c r="L194" t="s">
        <v>453</v>
      </c>
      <c r="M194">
        <v>95</v>
      </c>
      <c r="N194" t="s">
        <v>456</v>
      </c>
      <c r="Q194" t="s">
        <v>458</v>
      </c>
      <c r="R194" t="s">
        <v>461</v>
      </c>
      <c r="V194" t="s">
        <v>452</v>
      </c>
      <c r="W194" s="6" t="s">
        <v>423</v>
      </c>
      <c r="X194" s="6" t="s">
        <v>423</v>
      </c>
      <c r="Y194" s="6" t="s">
        <v>427</v>
      </c>
    </row>
    <row r="195" spans="1:25" x14ac:dyDescent="0.25">
      <c r="A195">
        <v>14</v>
      </c>
      <c r="B195" t="s">
        <v>400</v>
      </c>
      <c r="C195" t="s">
        <v>313</v>
      </c>
      <c r="D195" t="s">
        <v>401</v>
      </c>
      <c r="E195" t="s">
        <v>402</v>
      </c>
      <c r="F195" t="s">
        <v>27</v>
      </c>
      <c r="G195" s="12" t="s">
        <v>785</v>
      </c>
      <c r="H195" t="s">
        <v>451</v>
      </c>
      <c r="J195" t="s">
        <v>172</v>
      </c>
      <c r="L195" t="s">
        <v>454</v>
      </c>
      <c r="M195" t="s">
        <v>454</v>
      </c>
      <c r="N195" t="s">
        <v>457</v>
      </c>
      <c r="Q195" t="s">
        <v>459</v>
      </c>
      <c r="R195" t="s">
        <v>462</v>
      </c>
      <c r="V195" t="s">
        <v>452</v>
      </c>
      <c r="W195" s="6" t="s">
        <v>423</v>
      </c>
      <c r="X195" s="6" t="s">
        <v>423</v>
      </c>
      <c r="Y195" s="6" t="s">
        <v>427</v>
      </c>
    </row>
    <row r="196" spans="1:25" x14ac:dyDescent="0.25">
      <c r="A196">
        <v>14</v>
      </c>
      <c r="B196" t="s">
        <v>400</v>
      </c>
      <c r="C196" t="s">
        <v>313</v>
      </c>
      <c r="D196" t="s">
        <v>401</v>
      </c>
      <c r="E196" t="s">
        <v>402</v>
      </c>
      <c r="F196" t="s">
        <v>27</v>
      </c>
      <c r="G196" s="12" t="s">
        <v>788</v>
      </c>
      <c r="H196" t="s">
        <v>463</v>
      </c>
      <c r="J196" t="s">
        <v>29</v>
      </c>
      <c r="L196" t="s">
        <v>387</v>
      </c>
      <c r="M196" t="s">
        <v>387</v>
      </c>
      <c r="N196" t="s">
        <v>467</v>
      </c>
      <c r="Q196" t="s">
        <v>459</v>
      </c>
      <c r="R196" t="s">
        <v>468</v>
      </c>
      <c r="V196" t="s">
        <v>466</v>
      </c>
      <c r="W196" s="6" t="s">
        <v>426</v>
      </c>
      <c r="X196" s="6" t="s">
        <v>427</v>
      </c>
      <c r="Y196" s="6" t="s">
        <v>426</v>
      </c>
    </row>
    <row r="197" spans="1:25" x14ac:dyDescent="0.25">
      <c r="A197">
        <v>14</v>
      </c>
      <c r="B197" t="s">
        <v>400</v>
      </c>
      <c r="C197" t="s">
        <v>313</v>
      </c>
      <c r="D197" t="s">
        <v>401</v>
      </c>
      <c r="E197" t="s">
        <v>402</v>
      </c>
      <c r="F197" t="s">
        <v>27</v>
      </c>
      <c r="G197" s="12" t="s">
        <v>788</v>
      </c>
      <c r="H197" t="s">
        <v>464</v>
      </c>
      <c r="J197" t="s">
        <v>29</v>
      </c>
      <c r="L197" t="s">
        <v>387</v>
      </c>
      <c r="M197" t="s">
        <v>387</v>
      </c>
      <c r="N197" t="s">
        <v>467</v>
      </c>
      <c r="Q197" t="s">
        <v>459</v>
      </c>
      <c r="R197" t="s">
        <v>468</v>
      </c>
      <c r="V197" t="s">
        <v>466</v>
      </c>
      <c r="W197" s="6" t="s">
        <v>426</v>
      </c>
      <c r="X197" s="6" t="s">
        <v>427</v>
      </c>
      <c r="Y197" s="6" t="s">
        <v>426</v>
      </c>
    </row>
    <row r="198" spans="1:25" x14ac:dyDescent="0.25">
      <c r="A198">
        <v>14</v>
      </c>
      <c r="B198" t="s">
        <v>400</v>
      </c>
      <c r="C198" t="s">
        <v>313</v>
      </c>
      <c r="D198" t="s">
        <v>401</v>
      </c>
      <c r="E198" t="s">
        <v>402</v>
      </c>
      <c r="F198" t="s">
        <v>27</v>
      </c>
      <c r="G198" s="12" t="s">
        <v>788</v>
      </c>
      <c r="H198" t="s">
        <v>465</v>
      </c>
      <c r="J198" t="s">
        <v>29</v>
      </c>
      <c r="L198" t="s">
        <v>387</v>
      </c>
      <c r="M198" t="s">
        <v>387</v>
      </c>
      <c r="N198" t="s">
        <v>467</v>
      </c>
      <c r="Q198" t="s">
        <v>459</v>
      </c>
      <c r="R198" t="s">
        <v>468</v>
      </c>
      <c r="V198" t="s">
        <v>466</v>
      </c>
      <c r="W198" s="6" t="s">
        <v>426</v>
      </c>
      <c r="X198" s="6" t="s">
        <v>424</v>
      </c>
      <c r="Y198" s="6" t="s">
        <v>427</v>
      </c>
    </row>
    <row r="199" spans="1:25" x14ac:dyDescent="0.25">
      <c r="A199">
        <v>14</v>
      </c>
      <c r="B199" t="s">
        <v>400</v>
      </c>
      <c r="C199" t="s">
        <v>313</v>
      </c>
      <c r="D199" t="s">
        <v>401</v>
      </c>
      <c r="E199" t="s">
        <v>402</v>
      </c>
      <c r="F199" t="s">
        <v>27</v>
      </c>
      <c r="G199" s="12" t="s">
        <v>789</v>
      </c>
      <c r="H199" t="s">
        <v>469</v>
      </c>
      <c r="J199" t="s">
        <v>473</v>
      </c>
      <c r="L199" t="s">
        <v>347</v>
      </c>
      <c r="M199" t="s">
        <v>387</v>
      </c>
      <c r="N199" t="s">
        <v>445</v>
      </c>
      <c r="Q199" t="s">
        <v>476</v>
      </c>
      <c r="R199" t="s">
        <v>440</v>
      </c>
      <c r="V199" t="s">
        <v>472</v>
      </c>
      <c r="W199" s="6" t="s">
        <v>427</v>
      </c>
      <c r="X199" s="6" t="s">
        <v>424</v>
      </c>
      <c r="Y199" s="6" t="s">
        <v>424</v>
      </c>
    </row>
    <row r="200" spans="1:25" x14ac:dyDescent="0.25">
      <c r="A200">
        <v>14</v>
      </c>
      <c r="B200" t="s">
        <v>400</v>
      </c>
      <c r="C200" t="s">
        <v>313</v>
      </c>
      <c r="D200" t="s">
        <v>401</v>
      </c>
      <c r="E200" t="s">
        <v>402</v>
      </c>
      <c r="F200" t="s">
        <v>27</v>
      </c>
      <c r="G200" s="12" t="s">
        <v>789</v>
      </c>
      <c r="H200" t="s">
        <v>470</v>
      </c>
      <c r="J200" t="s">
        <v>474</v>
      </c>
      <c r="L200" t="s">
        <v>347</v>
      </c>
      <c r="M200" t="s">
        <v>387</v>
      </c>
      <c r="N200" t="s">
        <v>456</v>
      </c>
      <c r="Q200" t="s">
        <v>416</v>
      </c>
      <c r="R200" t="s">
        <v>418</v>
      </c>
      <c r="V200" t="s">
        <v>472</v>
      </c>
      <c r="W200" s="6" t="s">
        <v>427</v>
      </c>
      <c r="X200" s="6" t="s">
        <v>427</v>
      </c>
      <c r="Y200" s="6" t="s">
        <v>427</v>
      </c>
    </row>
    <row r="201" spans="1:25" x14ac:dyDescent="0.25">
      <c r="A201">
        <v>14</v>
      </c>
      <c r="B201" t="s">
        <v>400</v>
      </c>
      <c r="C201" t="s">
        <v>313</v>
      </c>
      <c r="D201" t="s">
        <v>401</v>
      </c>
      <c r="E201" t="s">
        <v>402</v>
      </c>
      <c r="F201" t="s">
        <v>27</v>
      </c>
      <c r="G201" s="12" t="s">
        <v>789</v>
      </c>
      <c r="H201" t="s">
        <v>471</v>
      </c>
      <c r="J201" t="s">
        <v>475</v>
      </c>
      <c r="L201" t="s">
        <v>347</v>
      </c>
      <c r="M201" t="s">
        <v>387</v>
      </c>
      <c r="N201" t="s">
        <v>411</v>
      </c>
      <c r="Q201" t="s">
        <v>448</v>
      </c>
      <c r="R201" t="s">
        <v>420</v>
      </c>
      <c r="V201" t="s">
        <v>472</v>
      </c>
      <c r="W201" s="6" t="s">
        <v>426</v>
      </c>
      <c r="X201" s="6" t="s">
        <v>427</v>
      </c>
      <c r="Y201" s="6" t="s">
        <v>424</v>
      </c>
    </row>
    <row r="202" spans="1:25" x14ac:dyDescent="0.25">
      <c r="A202">
        <v>14</v>
      </c>
      <c r="B202" t="s">
        <v>400</v>
      </c>
      <c r="C202" t="s">
        <v>313</v>
      </c>
      <c r="D202" t="s">
        <v>401</v>
      </c>
      <c r="E202" t="s">
        <v>402</v>
      </c>
      <c r="F202" t="s">
        <v>27</v>
      </c>
      <c r="G202" s="12" t="s">
        <v>786</v>
      </c>
      <c r="H202" t="s">
        <v>477</v>
      </c>
      <c r="J202" t="s">
        <v>482</v>
      </c>
      <c r="L202" t="s">
        <v>347</v>
      </c>
      <c r="M202" t="s">
        <v>347</v>
      </c>
      <c r="N202" t="s">
        <v>484</v>
      </c>
      <c r="Q202" t="s">
        <v>448</v>
      </c>
      <c r="R202" t="s">
        <v>487</v>
      </c>
      <c r="V202" t="s">
        <v>481</v>
      </c>
      <c r="W202" s="6" t="s">
        <v>424</v>
      </c>
      <c r="X202" s="6" t="s">
        <v>427</v>
      </c>
      <c r="Y202" s="6" t="s">
        <v>426</v>
      </c>
    </row>
    <row r="203" spans="1:25" x14ac:dyDescent="0.25">
      <c r="A203">
        <v>14</v>
      </c>
      <c r="B203" t="s">
        <v>400</v>
      </c>
      <c r="C203" t="s">
        <v>313</v>
      </c>
      <c r="D203" t="s">
        <v>401</v>
      </c>
      <c r="E203" t="s">
        <v>402</v>
      </c>
      <c r="F203" t="s">
        <v>27</v>
      </c>
      <c r="G203" s="12" t="s">
        <v>786</v>
      </c>
      <c r="H203" t="s">
        <v>478</v>
      </c>
      <c r="J203" t="s">
        <v>170</v>
      </c>
      <c r="L203" t="s">
        <v>347</v>
      </c>
      <c r="M203" t="s">
        <v>347</v>
      </c>
      <c r="N203" t="s">
        <v>457</v>
      </c>
      <c r="Q203" t="s">
        <v>486</v>
      </c>
      <c r="R203" t="s">
        <v>487</v>
      </c>
      <c r="V203" t="s">
        <v>481</v>
      </c>
      <c r="W203" s="6" t="s">
        <v>427</v>
      </c>
      <c r="X203" s="6" t="s">
        <v>426</v>
      </c>
      <c r="Y203" s="6" t="s">
        <v>426</v>
      </c>
    </row>
    <row r="204" spans="1:25" x14ac:dyDescent="0.25">
      <c r="A204">
        <v>14</v>
      </c>
      <c r="B204" t="s">
        <v>400</v>
      </c>
      <c r="C204" t="s">
        <v>313</v>
      </c>
      <c r="D204" t="s">
        <v>401</v>
      </c>
      <c r="E204" t="s">
        <v>402</v>
      </c>
      <c r="F204" t="s">
        <v>27</v>
      </c>
      <c r="G204" s="12" t="s">
        <v>786</v>
      </c>
      <c r="H204" t="s">
        <v>479</v>
      </c>
      <c r="J204" t="s">
        <v>483</v>
      </c>
      <c r="L204" t="s">
        <v>362</v>
      </c>
      <c r="M204" t="s">
        <v>362</v>
      </c>
      <c r="N204" t="s">
        <v>445</v>
      </c>
      <c r="Q204" t="s">
        <v>438</v>
      </c>
      <c r="R204" t="s">
        <v>487</v>
      </c>
      <c r="V204" t="s">
        <v>481</v>
      </c>
      <c r="W204" s="6" t="s">
        <v>424</v>
      </c>
      <c r="X204" s="6" t="s">
        <v>427</v>
      </c>
      <c r="Y204" s="6" t="s">
        <v>427</v>
      </c>
    </row>
    <row r="205" spans="1:25" x14ac:dyDescent="0.25">
      <c r="A205">
        <v>14</v>
      </c>
      <c r="B205" t="s">
        <v>400</v>
      </c>
      <c r="C205" t="s">
        <v>313</v>
      </c>
      <c r="D205" t="s">
        <v>401</v>
      </c>
      <c r="E205" t="s">
        <v>402</v>
      </c>
      <c r="F205" t="s">
        <v>27</v>
      </c>
      <c r="G205" s="12" t="s">
        <v>786</v>
      </c>
      <c r="H205" t="s">
        <v>480</v>
      </c>
      <c r="J205" s="1" t="s">
        <v>483</v>
      </c>
      <c r="L205" s="1" t="s">
        <v>435</v>
      </c>
      <c r="M205" t="s">
        <v>435</v>
      </c>
      <c r="N205" s="1" t="s">
        <v>485</v>
      </c>
      <c r="Q205" t="s">
        <v>414</v>
      </c>
      <c r="R205" t="s">
        <v>487</v>
      </c>
      <c r="V205" t="s">
        <v>481</v>
      </c>
      <c r="W205" s="6" t="s">
        <v>427</v>
      </c>
      <c r="X205" s="6" t="s">
        <v>426</v>
      </c>
      <c r="Y205" s="6" t="s">
        <v>426</v>
      </c>
    </row>
    <row r="206" spans="1:25" x14ac:dyDescent="0.25">
      <c r="A206">
        <v>14</v>
      </c>
      <c r="B206" t="s">
        <v>400</v>
      </c>
      <c r="C206" t="s">
        <v>313</v>
      </c>
      <c r="D206" t="s">
        <v>401</v>
      </c>
      <c r="E206" t="s">
        <v>402</v>
      </c>
      <c r="F206" t="s">
        <v>27</v>
      </c>
      <c r="G206" s="12" t="s">
        <v>789</v>
      </c>
      <c r="H206" t="s">
        <v>488</v>
      </c>
      <c r="J206" t="s">
        <v>33</v>
      </c>
      <c r="L206" t="s">
        <v>347</v>
      </c>
      <c r="M206" t="s">
        <v>347</v>
      </c>
      <c r="N206" t="s">
        <v>456</v>
      </c>
      <c r="Q206" t="s">
        <v>492</v>
      </c>
      <c r="R206" t="s">
        <v>495</v>
      </c>
      <c r="V206" t="s">
        <v>491</v>
      </c>
      <c r="W206" s="6" t="s">
        <v>426</v>
      </c>
      <c r="X206" s="6" t="s">
        <v>426</v>
      </c>
      <c r="Y206" s="6" t="s">
        <v>426</v>
      </c>
    </row>
    <row r="207" spans="1:25" x14ac:dyDescent="0.25">
      <c r="A207">
        <v>14</v>
      </c>
      <c r="B207" t="s">
        <v>400</v>
      </c>
      <c r="C207" t="s">
        <v>313</v>
      </c>
      <c r="D207" t="s">
        <v>401</v>
      </c>
      <c r="E207" t="s">
        <v>402</v>
      </c>
      <c r="F207" t="s">
        <v>27</v>
      </c>
      <c r="G207" s="12" t="s">
        <v>789</v>
      </c>
      <c r="H207" t="s">
        <v>489</v>
      </c>
      <c r="J207" t="s">
        <v>33</v>
      </c>
      <c r="L207" t="s">
        <v>347</v>
      </c>
      <c r="M207" t="s">
        <v>347</v>
      </c>
      <c r="N207" t="s">
        <v>456</v>
      </c>
      <c r="Q207" t="s">
        <v>493</v>
      </c>
      <c r="R207" t="s">
        <v>496</v>
      </c>
      <c r="V207" t="s">
        <v>491</v>
      </c>
      <c r="W207" s="6" t="s">
        <v>426</v>
      </c>
      <c r="X207" s="6" t="s">
        <v>426</v>
      </c>
      <c r="Y207" s="6" t="s">
        <v>427</v>
      </c>
    </row>
    <row r="208" spans="1:25" x14ac:dyDescent="0.25">
      <c r="A208">
        <v>14</v>
      </c>
      <c r="B208" t="s">
        <v>400</v>
      </c>
      <c r="C208" t="s">
        <v>313</v>
      </c>
      <c r="D208" t="s">
        <v>401</v>
      </c>
      <c r="E208" t="s">
        <v>402</v>
      </c>
      <c r="F208" t="s">
        <v>27</v>
      </c>
      <c r="G208" s="12" t="s">
        <v>789</v>
      </c>
      <c r="H208" t="s">
        <v>490</v>
      </c>
      <c r="J208" t="s">
        <v>27</v>
      </c>
      <c r="L208" t="s">
        <v>362</v>
      </c>
      <c r="M208" t="s">
        <v>362</v>
      </c>
      <c r="N208" t="s">
        <v>445</v>
      </c>
      <c r="Q208" t="s">
        <v>494</v>
      </c>
      <c r="R208" t="s">
        <v>497</v>
      </c>
      <c r="V208" t="s">
        <v>491</v>
      </c>
      <c r="W208" s="6" t="s">
        <v>424</v>
      </c>
      <c r="X208" s="6" t="s">
        <v>427</v>
      </c>
      <c r="Y208" s="6" t="s">
        <v>427</v>
      </c>
    </row>
    <row r="209" spans="1:25" x14ac:dyDescent="0.25">
      <c r="A209">
        <v>14</v>
      </c>
      <c r="B209" t="s">
        <v>400</v>
      </c>
      <c r="C209" t="s">
        <v>313</v>
      </c>
      <c r="D209" t="s">
        <v>401</v>
      </c>
      <c r="E209" t="s">
        <v>402</v>
      </c>
      <c r="F209" t="s">
        <v>27</v>
      </c>
      <c r="G209" s="12" t="s">
        <v>787</v>
      </c>
      <c r="H209" t="s">
        <v>498</v>
      </c>
      <c r="J209" t="s">
        <v>503</v>
      </c>
      <c r="L209">
        <v>99</v>
      </c>
      <c r="M209">
        <v>90</v>
      </c>
      <c r="N209" t="s">
        <v>506</v>
      </c>
      <c r="Q209" t="s">
        <v>508</v>
      </c>
      <c r="R209" t="s">
        <v>509</v>
      </c>
      <c r="V209" t="s">
        <v>502</v>
      </c>
      <c r="W209" s="6" t="s">
        <v>423</v>
      </c>
      <c r="X209" s="6" t="s">
        <v>423</v>
      </c>
      <c r="Y209" s="6" t="s">
        <v>423</v>
      </c>
    </row>
    <row r="210" spans="1:25" x14ac:dyDescent="0.25">
      <c r="A210">
        <v>14</v>
      </c>
      <c r="B210" t="s">
        <v>400</v>
      </c>
      <c r="C210" t="s">
        <v>313</v>
      </c>
      <c r="D210" t="s">
        <v>401</v>
      </c>
      <c r="E210" t="s">
        <v>402</v>
      </c>
      <c r="F210" t="s">
        <v>27</v>
      </c>
      <c r="G210" s="12" t="s">
        <v>787</v>
      </c>
      <c r="H210" t="s">
        <v>499</v>
      </c>
      <c r="J210" t="s">
        <v>504</v>
      </c>
      <c r="L210" t="s">
        <v>362</v>
      </c>
      <c r="M210">
        <v>99</v>
      </c>
      <c r="N210" t="s">
        <v>456</v>
      </c>
      <c r="Q210" t="s">
        <v>508</v>
      </c>
      <c r="R210" t="s">
        <v>420</v>
      </c>
      <c r="V210" t="s">
        <v>502</v>
      </c>
      <c r="W210" s="6" t="s">
        <v>423</v>
      </c>
      <c r="X210" s="6" t="s">
        <v>424</v>
      </c>
      <c r="Y210" s="6" t="s">
        <v>424</v>
      </c>
    </row>
    <row r="211" spans="1:25" x14ac:dyDescent="0.25">
      <c r="A211">
        <v>14</v>
      </c>
      <c r="B211" t="s">
        <v>400</v>
      </c>
      <c r="C211" t="s">
        <v>313</v>
      </c>
      <c r="D211" t="s">
        <v>401</v>
      </c>
      <c r="E211" t="s">
        <v>402</v>
      </c>
      <c r="F211" t="s">
        <v>27</v>
      </c>
      <c r="G211" s="12" t="s">
        <v>787</v>
      </c>
      <c r="H211" t="s">
        <v>500</v>
      </c>
      <c r="J211" t="s">
        <v>35</v>
      </c>
      <c r="L211" t="s">
        <v>435</v>
      </c>
      <c r="M211" t="s">
        <v>362</v>
      </c>
      <c r="N211" t="s">
        <v>507</v>
      </c>
      <c r="Q211" t="s">
        <v>416</v>
      </c>
      <c r="R211" t="s">
        <v>440</v>
      </c>
      <c r="V211" t="s">
        <v>502</v>
      </c>
      <c r="W211" s="6" t="s">
        <v>427</v>
      </c>
      <c r="X211" s="6" t="s">
        <v>427</v>
      </c>
      <c r="Y211" s="6" t="s">
        <v>424</v>
      </c>
    </row>
    <row r="212" spans="1:25" x14ac:dyDescent="0.25">
      <c r="A212">
        <v>14</v>
      </c>
      <c r="B212" t="s">
        <v>400</v>
      </c>
      <c r="C212" t="s">
        <v>313</v>
      </c>
      <c r="D212" t="s">
        <v>401</v>
      </c>
      <c r="E212" t="s">
        <v>402</v>
      </c>
      <c r="F212" t="s">
        <v>27</v>
      </c>
      <c r="G212" s="12" t="s">
        <v>787</v>
      </c>
      <c r="H212" t="s">
        <v>501</v>
      </c>
      <c r="J212" t="s">
        <v>505</v>
      </c>
      <c r="L212" t="s">
        <v>347</v>
      </c>
      <c r="M212" t="s">
        <v>435</v>
      </c>
      <c r="N212" t="s">
        <v>485</v>
      </c>
      <c r="Q212" t="s">
        <v>416</v>
      </c>
      <c r="R212" t="s">
        <v>510</v>
      </c>
      <c r="V212" t="s">
        <v>502</v>
      </c>
      <c r="W212" s="6" t="s">
        <v>426</v>
      </c>
      <c r="X212" s="6" t="s">
        <v>427</v>
      </c>
      <c r="Y212" s="6" t="s">
        <v>426</v>
      </c>
    </row>
    <row r="213" spans="1:25" x14ac:dyDescent="0.25">
      <c r="A213">
        <v>14</v>
      </c>
      <c r="B213" t="s">
        <v>400</v>
      </c>
      <c r="C213" t="s">
        <v>313</v>
      </c>
      <c r="D213" t="s">
        <v>401</v>
      </c>
      <c r="E213" t="s">
        <v>402</v>
      </c>
      <c r="F213" t="s">
        <v>27</v>
      </c>
      <c r="G213" s="12" t="s">
        <v>790</v>
      </c>
      <c r="H213" t="s">
        <v>511</v>
      </c>
      <c r="J213" t="s">
        <v>33</v>
      </c>
      <c r="L213" t="s">
        <v>347</v>
      </c>
      <c r="M213" t="s">
        <v>347</v>
      </c>
      <c r="N213" t="s">
        <v>445</v>
      </c>
      <c r="Q213" t="s">
        <v>516</v>
      </c>
      <c r="R213" t="s">
        <v>497</v>
      </c>
      <c r="V213" t="s">
        <v>514</v>
      </c>
      <c r="W213" s="6" t="s">
        <v>426</v>
      </c>
      <c r="X213" s="6" t="s">
        <v>426</v>
      </c>
      <c r="Y213" s="6" t="s">
        <v>427</v>
      </c>
    </row>
    <row r="214" spans="1:25" x14ac:dyDescent="0.25">
      <c r="A214">
        <v>14</v>
      </c>
      <c r="B214" t="s">
        <v>400</v>
      </c>
      <c r="C214" t="s">
        <v>313</v>
      </c>
      <c r="D214" t="s">
        <v>401</v>
      </c>
      <c r="E214" t="s">
        <v>402</v>
      </c>
      <c r="F214" t="s">
        <v>27</v>
      </c>
      <c r="G214" s="12" t="s">
        <v>790</v>
      </c>
      <c r="H214" t="s">
        <v>512</v>
      </c>
      <c r="J214" t="s">
        <v>33</v>
      </c>
      <c r="L214" t="s">
        <v>347</v>
      </c>
      <c r="M214" t="s">
        <v>347</v>
      </c>
      <c r="N214" t="s">
        <v>515</v>
      </c>
      <c r="Q214" t="s">
        <v>516</v>
      </c>
      <c r="R214" t="s">
        <v>518</v>
      </c>
      <c r="V214" t="s">
        <v>514</v>
      </c>
      <c r="W214" s="6" t="s">
        <v>426</v>
      </c>
      <c r="X214" s="6" t="s">
        <v>426</v>
      </c>
      <c r="Y214" s="6" t="s">
        <v>427</v>
      </c>
    </row>
    <row r="215" spans="1:25" x14ac:dyDescent="0.25">
      <c r="A215">
        <v>14</v>
      </c>
      <c r="B215" t="s">
        <v>400</v>
      </c>
      <c r="C215" t="s">
        <v>313</v>
      </c>
      <c r="D215" t="s">
        <v>401</v>
      </c>
      <c r="E215" t="s">
        <v>402</v>
      </c>
      <c r="F215" t="s">
        <v>27</v>
      </c>
      <c r="G215" s="12" t="s">
        <v>785</v>
      </c>
      <c r="H215" t="s">
        <v>513</v>
      </c>
      <c r="J215" t="s">
        <v>172</v>
      </c>
      <c r="L215">
        <v>99</v>
      </c>
      <c r="M215" t="s">
        <v>347</v>
      </c>
      <c r="N215" t="s">
        <v>445</v>
      </c>
      <c r="Q215" t="s">
        <v>517</v>
      </c>
      <c r="R215" t="s">
        <v>519</v>
      </c>
      <c r="V215" t="s">
        <v>514</v>
      </c>
      <c r="W215" s="6" t="s">
        <v>424</v>
      </c>
      <c r="X215" s="6" t="s">
        <v>427</v>
      </c>
      <c r="Y215" s="6" t="s">
        <v>424</v>
      </c>
    </row>
    <row r="216" spans="1:25" x14ac:dyDescent="0.25">
      <c r="A216">
        <v>14</v>
      </c>
      <c r="B216" t="s">
        <v>400</v>
      </c>
      <c r="C216" t="s">
        <v>313</v>
      </c>
      <c r="D216" t="s">
        <v>401</v>
      </c>
      <c r="E216" t="s">
        <v>402</v>
      </c>
      <c r="F216" t="s">
        <v>27</v>
      </c>
      <c r="G216" s="12" t="s">
        <v>786</v>
      </c>
      <c r="H216" t="s">
        <v>520</v>
      </c>
      <c r="J216" t="s">
        <v>29</v>
      </c>
      <c r="L216">
        <v>95</v>
      </c>
      <c r="M216" t="s">
        <v>387</v>
      </c>
      <c r="N216" t="s">
        <v>456</v>
      </c>
      <c r="Q216" t="s">
        <v>525</v>
      </c>
      <c r="R216" t="s">
        <v>418</v>
      </c>
      <c r="V216" t="s">
        <v>524</v>
      </c>
      <c r="W216" s="6" t="s">
        <v>424</v>
      </c>
      <c r="X216" s="6" t="s">
        <v>427</v>
      </c>
      <c r="Y216" s="6" t="s">
        <v>427</v>
      </c>
    </row>
    <row r="217" spans="1:25" x14ac:dyDescent="0.25">
      <c r="A217">
        <v>14</v>
      </c>
      <c r="B217" t="s">
        <v>400</v>
      </c>
      <c r="C217" t="s">
        <v>313</v>
      </c>
      <c r="D217" t="s">
        <v>401</v>
      </c>
      <c r="E217" t="s">
        <v>402</v>
      </c>
      <c r="F217" t="s">
        <v>27</v>
      </c>
      <c r="G217" s="12" t="s">
        <v>786</v>
      </c>
      <c r="H217" t="s">
        <v>521</v>
      </c>
      <c r="J217" t="s">
        <v>405</v>
      </c>
      <c r="L217" t="s">
        <v>387</v>
      </c>
      <c r="M217" t="s">
        <v>387</v>
      </c>
      <c r="N217" t="s">
        <v>457</v>
      </c>
      <c r="Q217" t="s">
        <v>525</v>
      </c>
      <c r="R217" t="s">
        <v>418</v>
      </c>
      <c r="V217" t="s">
        <v>524</v>
      </c>
      <c r="W217" s="6" t="s">
        <v>424</v>
      </c>
      <c r="X217" s="6" t="s">
        <v>427</v>
      </c>
      <c r="Y217" s="6" t="s">
        <v>427</v>
      </c>
    </row>
    <row r="218" spans="1:25" x14ac:dyDescent="0.25">
      <c r="A218">
        <v>14</v>
      </c>
      <c r="B218" t="s">
        <v>400</v>
      </c>
      <c r="C218" t="s">
        <v>313</v>
      </c>
      <c r="D218" t="s">
        <v>401</v>
      </c>
      <c r="E218" t="s">
        <v>402</v>
      </c>
      <c r="F218" t="s">
        <v>27</v>
      </c>
      <c r="G218" s="12" t="s">
        <v>786</v>
      </c>
      <c r="H218" t="s">
        <v>522</v>
      </c>
      <c r="J218" t="s">
        <v>405</v>
      </c>
      <c r="L218" t="s">
        <v>387</v>
      </c>
      <c r="M218" t="s">
        <v>387</v>
      </c>
      <c r="N218" t="s">
        <v>457</v>
      </c>
      <c r="Q218" t="s">
        <v>525</v>
      </c>
      <c r="R218" t="s">
        <v>418</v>
      </c>
      <c r="V218" t="s">
        <v>524</v>
      </c>
      <c r="W218" s="6" t="s">
        <v>424</v>
      </c>
      <c r="X218" s="6" t="s">
        <v>427</v>
      </c>
      <c r="Y218" s="6" t="s">
        <v>427</v>
      </c>
    </row>
    <row r="219" spans="1:25" x14ac:dyDescent="0.25">
      <c r="A219">
        <v>14</v>
      </c>
      <c r="B219" t="s">
        <v>400</v>
      </c>
      <c r="C219" t="s">
        <v>313</v>
      </c>
      <c r="D219" t="s">
        <v>401</v>
      </c>
      <c r="E219" t="s">
        <v>402</v>
      </c>
      <c r="F219" t="s">
        <v>27</v>
      </c>
      <c r="G219" s="12" t="s">
        <v>786</v>
      </c>
      <c r="H219" t="s">
        <v>523</v>
      </c>
      <c r="J219" t="s">
        <v>170</v>
      </c>
      <c r="L219" t="s">
        <v>387</v>
      </c>
      <c r="M219" t="s">
        <v>387</v>
      </c>
      <c r="N219" t="s">
        <v>457</v>
      </c>
      <c r="Q219" t="s">
        <v>525</v>
      </c>
      <c r="R219" t="s">
        <v>418</v>
      </c>
      <c r="V219" t="s">
        <v>524</v>
      </c>
      <c r="W219" s="6" t="s">
        <v>424</v>
      </c>
      <c r="X219" s="6" t="s">
        <v>427</v>
      </c>
      <c r="Y219" s="6" t="s">
        <v>427</v>
      </c>
    </row>
    <row r="220" spans="1:25" x14ac:dyDescent="0.25">
      <c r="A220">
        <v>14</v>
      </c>
      <c r="B220" t="s">
        <v>400</v>
      </c>
      <c r="C220" t="s">
        <v>313</v>
      </c>
      <c r="D220" t="s">
        <v>401</v>
      </c>
      <c r="E220" t="s">
        <v>402</v>
      </c>
      <c r="F220" t="s">
        <v>27</v>
      </c>
      <c r="G220" s="12" t="s">
        <v>789</v>
      </c>
      <c r="H220" t="s">
        <v>526</v>
      </c>
      <c r="J220" t="s">
        <v>170</v>
      </c>
      <c r="L220" t="s">
        <v>387</v>
      </c>
      <c r="M220" t="s">
        <v>387</v>
      </c>
      <c r="N220" t="s">
        <v>532</v>
      </c>
      <c r="Q220" t="s">
        <v>415</v>
      </c>
      <c r="R220" t="s">
        <v>535</v>
      </c>
      <c r="V220" t="s">
        <v>531</v>
      </c>
      <c r="W220" s="6" t="s">
        <v>426</v>
      </c>
      <c r="X220" s="6" t="s">
        <v>424</v>
      </c>
      <c r="Y220" s="6" t="s">
        <v>426</v>
      </c>
    </row>
    <row r="221" spans="1:25" x14ac:dyDescent="0.25">
      <c r="A221">
        <v>14</v>
      </c>
      <c r="B221" t="s">
        <v>400</v>
      </c>
      <c r="C221" t="s">
        <v>313</v>
      </c>
      <c r="D221" t="s">
        <v>401</v>
      </c>
      <c r="E221" t="s">
        <v>402</v>
      </c>
      <c r="F221" t="s">
        <v>27</v>
      </c>
      <c r="G221" s="12" t="s">
        <v>789</v>
      </c>
      <c r="H221" t="s">
        <v>527</v>
      </c>
      <c r="J221" t="s">
        <v>33</v>
      </c>
      <c r="L221" t="s">
        <v>347</v>
      </c>
      <c r="M221" t="s">
        <v>347</v>
      </c>
      <c r="N221" t="s">
        <v>445</v>
      </c>
      <c r="Q221" t="s">
        <v>438</v>
      </c>
      <c r="R221" t="s">
        <v>519</v>
      </c>
      <c r="V221" t="s">
        <v>531</v>
      </c>
      <c r="W221" s="6" t="s">
        <v>426</v>
      </c>
      <c r="X221" s="6" t="s">
        <v>426</v>
      </c>
      <c r="Y221" s="6" t="s">
        <v>427</v>
      </c>
    </row>
    <row r="222" spans="1:25" x14ac:dyDescent="0.25">
      <c r="A222">
        <v>14</v>
      </c>
      <c r="B222" t="s">
        <v>400</v>
      </c>
      <c r="C222" t="s">
        <v>313</v>
      </c>
      <c r="D222" t="s">
        <v>401</v>
      </c>
      <c r="E222" t="s">
        <v>402</v>
      </c>
      <c r="F222" t="s">
        <v>27</v>
      </c>
      <c r="G222" s="12" t="s">
        <v>789</v>
      </c>
      <c r="H222" t="s">
        <v>528</v>
      </c>
      <c r="J222" t="s">
        <v>163</v>
      </c>
      <c r="L222" t="s">
        <v>362</v>
      </c>
      <c r="M222" t="s">
        <v>362</v>
      </c>
      <c r="N222" t="s">
        <v>445</v>
      </c>
      <c r="Q222" t="s">
        <v>476</v>
      </c>
      <c r="R222" t="s">
        <v>536</v>
      </c>
      <c r="V222" t="s">
        <v>531</v>
      </c>
      <c r="W222" s="6" t="s">
        <v>427</v>
      </c>
      <c r="X222" s="6" t="s">
        <v>427</v>
      </c>
      <c r="Y222" s="6" t="s">
        <v>426</v>
      </c>
    </row>
    <row r="223" spans="1:25" x14ac:dyDescent="0.25">
      <c r="A223">
        <v>14</v>
      </c>
      <c r="B223" t="s">
        <v>400</v>
      </c>
      <c r="C223" t="s">
        <v>313</v>
      </c>
      <c r="D223" t="s">
        <v>401</v>
      </c>
      <c r="E223" t="s">
        <v>402</v>
      </c>
      <c r="F223" t="s">
        <v>27</v>
      </c>
      <c r="G223" s="12" t="s">
        <v>786</v>
      </c>
      <c r="H223" t="s">
        <v>529</v>
      </c>
      <c r="J223" t="s">
        <v>33</v>
      </c>
      <c r="L223" t="s">
        <v>347</v>
      </c>
      <c r="M223" t="s">
        <v>347</v>
      </c>
      <c r="N223" t="s">
        <v>533</v>
      </c>
      <c r="Q223" t="s">
        <v>437</v>
      </c>
      <c r="R223" t="s">
        <v>537</v>
      </c>
      <c r="V223" t="s">
        <v>531</v>
      </c>
      <c r="W223" s="6" t="s">
        <v>427</v>
      </c>
      <c r="X223" s="6" t="s">
        <v>426</v>
      </c>
      <c r="Y223" s="6" t="s">
        <v>426</v>
      </c>
    </row>
    <row r="224" spans="1:25" x14ac:dyDescent="0.25">
      <c r="A224">
        <v>14</v>
      </c>
      <c r="B224" t="s">
        <v>400</v>
      </c>
      <c r="C224" t="s">
        <v>313</v>
      </c>
      <c r="D224" t="s">
        <v>401</v>
      </c>
      <c r="E224" t="s">
        <v>402</v>
      </c>
      <c r="F224" t="s">
        <v>27</v>
      </c>
      <c r="G224" s="12" t="s">
        <v>789</v>
      </c>
      <c r="H224" t="s">
        <v>530</v>
      </c>
      <c r="J224" t="s">
        <v>35</v>
      </c>
      <c r="L224">
        <v>99</v>
      </c>
      <c r="M224" t="s">
        <v>347</v>
      </c>
      <c r="N224" t="s">
        <v>436</v>
      </c>
      <c r="Q224" t="s">
        <v>534</v>
      </c>
      <c r="R224" t="s">
        <v>440</v>
      </c>
      <c r="V224" t="s">
        <v>531</v>
      </c>
      <c r="W224" s="6" t="s">
        <v>424</v>
      </c>
      <c r="X224" s="6" t="s">
        <v>426</v>
      </c>
      <c r="Y224" s="6" t="s">
        <v>427</v>
      </c>
    </row>
    <row r="225" spans="1:2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x14ac:dyDescent="0.25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730</v>
      </c>
      <c r="F226" s="1" t="s">
        <v>736</v>
      </c>
      <c r="G226" s="7" t="s">
        <v>4</v>
      </c>
      <c r="H226" s="1" t="s">
        <v>538</v>
      </c>
      <c r="Q226" s="1" t="s">
        <v>540</v>
      </c>
      <c r="S226" s="1" t="s">
        <v>539</v>
      </c>
      <c r="T226" s="1" t="s">
        <v>541</v>
      </c>
    </row>
    <row r="227" spans="1:25" x14ac:dyDescent="0.25">
      <c r="A227">
        <v>15</v>
      </c>
      <c r="B227" t="s">
        <v>542</v>
      </c>
      <c r="C227" t="s">
        <v>543</v>
      </c>
      <c r="D227" t="s">
        <v>544</v>
      </c>
      <c r="E227" t="s">
        <v>545</v>
      </c>
      <c r="F227" t="s">
        <v>27</v>
      </c>
      <c r="G227" s="12" t="s">
        <v>789</v>
      </c>
      <c r="H227" t="s">
        <v>546</v>
      </c>
      <c r="Q227" t="s">
        <v>547</v>
      </c>
      <c r="S227" t="s">
        <v>320</v>
      </c>
      <c r="T227" t="s">
        <v>548</v>
      </c>
    </row>
    <row r="228" spans="1:25" x14ac:dyDescent="0.25">
      <c r="A228">
        <v>15</v>
      </c>
      <c r="B228" t="s">
        <v>542</v>
      </c>
      <c r="C228" t="s">
        <v>543</v>
      </c>
      <c r="D228" t="s">
        <v>544</v>
      </c>
      <c r="E228" t="s">
        <v>545</v>
      </c>
      <c r="F228" t="s">
        <v>27</v>
      </c>
      <c r="G228" s="12" t="s">
        <v>789</v>
      </c>
      <c r="H228" t="s">
        <v>549</v>
      </c>
      <c r="Q228" t="s">
        <v>551</v>
      </c>
      <c r="S228" t="s">
        <v>550</v>
      </c>
      <c r="T228" t="s">
        <v>552</v>
      </c>
    </row>
    <row r="229" spans="1:25" x14ac:dyDescent="0.25">
      <c r="A229">
        <v>15</v>
      </c>
      <c r="B229" t="s">
        <v>542</v>
      </c>
      <c r="C229" t="s">
        <v>543</v>
      </c>
      <c r="D229" t="s">
        <v>544</v>
      </c>
      <c r="E229" t="s">
        <v>545</v>
      </c>
      <c r="F229" t="s">
        <v>27</v>
      </c>
      <c r="G229" s="12" t="s">
        <v>744</v>
      </c>
      <c r="H229" t="s">
        <v>553</v>
      </c>
      <c r="Q229" t="s">
        <v>554</v>
      </c>
      <c r="S229" t="s">
        <v>320</v>
      </c>
      <c r="T229" t="s">
        <v>555</v>
      </c>
    </row>
    <row r="230" spans="1:25" x14ac:dyDescent="0.25">
      <c r="A230">
        <v>15</v>
      </c>
      <c r="B230" t="s">
        <v>542</v>
      </c>
      <c r="C230" t="s">
        <v>543</v>
      </c>
      <c r="D230" t="s">
        <v>544</v>
      </c>
      <c r="E230" t="s">
        <v>545</v>
      </c>
      <c r="F230" t="s">
        <v>27</v>
      </c>
      <c r="G230" s="12" t="s">
        <v>787</v>
      </c>
      <c r="H230" t="s">
        <v>556</v>
      </c>
      <c r="Q230" t="s">
        <v>557</v>
      </c>
      <c r="S230" t="s">
        <v>550</v>
      </c>
      <c r="T230" t="s">
        <v>558</v>
      </c>
    </row>
    <row r="231" spans="1:25" x14ac:dyDescent="0.25">
      <c r="A231" s="1" t="s">
        <v>0</v>
      </c>
      <c r="B231" s="1" t="s">
        <v>1</v>
      </c>
      <c r="C231" s="1" t="s">
        <v>2</v>
      </c>
      <c r="D231" s="1" t="s">
        <v>3</v>
      </c>
      <c r="E231" s="1" t="s">
        <v>730</v>
      </c>
      <c r="F231" s="1" t="s">
        <v>736</v>
      </c>
      <c r="G231" s="7" t="s">
        <v>4</v>
      </c>
      <c r="H231" s="1" t="s">
        <v>5</v>
      </c>
      <c r="J231" s="1" t="s">
        <v>560</v>
      </c>
      <c r="L231" s="1" t="s">
        <v>332</v>
      </c>
      <c r="N231" s="1" t="s">
        <v>561</v>
      </c>
    </row>
    <row r="232" spans="1:25" x14ac:dyDescent="0.25">
      <c r="A232">
        <v>15</v>
      </c>
      <c r="B232" t="s">
        <v>542</v>
      </c>
      <c r="C232" t="s">
        <v>543</v>
      </c>
      <c r="D232" t="s">
        <v>544</v>
      </c>
      <c r="E232" t="s">
        <v>562</v>
      </c>
      <c r="F232" t="s">
        <v>738</v>
      </c>
      <c r="G232" s="12" t="s">
        <v>790</v>
      </c>
      <c r="H232" t="s">
        <v>563</v>
      </c>
      <c r="J232" t="s">
        <v>564</v>
      </c>
      <c r="L232" t="s">
        <v>347</v>
      </c>
      <c r="N232" t="s">
        <v>330</v>
      </c>
    </row>
    <row r="233" spans="1:25" x14ac:dyDescent="0.25">
      <c r="A233">
        <v>15</v>
      </c>
      <c r="B233" t="s">
        <v>542</v>
      </c>
      <c r="C233" t="s">
        <v>543</v>
      </c>
      <c r="D233" t="s">
        <v>544</v>
      </c>
      <c r="E233" t="s">
        <v>562</v>
      </c>
      <c r="F233" t="s">
        <v>738</v>
      </c>
      <c r="G233" s="12" t="s">
        <v>788</v>
      </c>
      <c r="H233" t="s">
        <v>177</v>
      </c>
      <c r="J233" t="s">
        <v>565</v>
      </c>
      <c r="L233" t="s">
        <v>347</v>
      </c>
      <c r="N233" t="s">
        <v>566</v>
      </c>
    </row>
    <row r="234" spans="1:25" x14ac:dyDescent="0.25">
      <c r="A234">
        <v>15</v>
      </c>
      <c r="B234" t="s">
        <v>542</v>
      </c>
      <c r="C234" t="s">
        <v>543</v>
      </c>
      <c r="D234" t="s">
        <v>544</v>
      </c>
      <c r="E234" t="s">
        <v>562</v>
      </c>
      <c r="F234" t="s">
        <v>738</v>
      </c>
      <c r="G234" s="12" t="s">
        <v>744</v>
      </c>
      <c r="H234" t="s">
        <v>567</v>
      </c>
      <c r="J234" t="s">
        <v>564</v>
      </c>
      <c r="L234" t="s">
        <v>347</v>
      </c>
      <c r="N234" t="s">
        <v>330</v>
      </c>
    </row>
    <row r="235" spans="1:25" x14ac:dyDescent="0.25">
      <c r="A235">
        <v>15</v>
      </c>
      <c r="B235" t="s">
        <v>542</v>
      </c>
      <c r="C235" t="s">
        <v>543</v>
      </c>
      <c r="D235" t="s">
        <v>544</v>
      </c>
      <c r="E235" t="s">
        <v>562</v>
      </c>
      <c r="F235" t="s">
        <v>738</v>
      </c>
      <c r="G235" s="12" t="s">
        <v>744</v>
      </c>
      <c r="H235" t="s">
        <v>568</v>
      </c>
      <c r="J235" t="s">
        <v>168</v>
      </c>
      <c r="L235" t="s">
        <v>435</v>
      </c>
      <c r="N235" t="s">
        <v>566</v>
      </c>
    </row>
    <row r="236" spans="1:2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x14ac:dyDescent="0.25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730</v>
      </c>
      <c r="F237" s="1" t="s">
        <v>736</v>
      </c>
      <c r="G237" s="7" t="s">
        <v>4</v>
      </c>
      <c r="H237" s="1" t="s">
        <v>5</v>
      </c>
      <c r="J237" s="1" t="s">
        <v>333</v>
      </c>
      <c r="L237" s="1" t="s">
        <v>569</v>
      </c>
    </row>
    <row r="238" spans="1:25" x14ac:dyDescent="0.25">
      <c r="A238">
        <v>16</v>
      </c>
      <c r="B238" t="s">
        <v>570</v>
      </c>
      <c r="C238" t="s">
        <v>543</v>
      </c>
      <c r="D238" t="s">
        <v>571</v>
      </c>
      <c r="E238" t="s">
        <v>59</v>
      </c>
      <c r="F238" t="s">
        <v>27</v>
      </c>
      <c r="G238" s="12" t="s">
        <v>744</v>
      </c>
      <c r="H238" t="s">
        <v>572</v>
      </c>
      <c r="J238">
        <v>250</v>
      </c>
      <c r="L238" t="s">
        <v>193</v>
      </c>
    </row>
    <row r="239" spans="1:25" x14ac:dyDescent="0.25">
      <c r="A239">
        <v>16</v>
      </c>
      <c r="B239" t="s">
        <v>570</v>
      </c>
      <c r="C239" t="s">
        <v>543</v>
      </c>
      <c r="D239" t="s">
        <v>571</v>
      </c>
      <c r="E239" t="s">
        <v>59</v>
      </c>
      <c r="F239" t="s">
        <v>27</v>
      </c>
      <c r="G239" s="12" t="s">
        <v>744</v>
      </c>
      <c r="H239" t="s">
        <v>567</v>
      </c>
      <c r="J239">
        <v>10</v>
      </c>
      <c r="L239" t="s">
        <v>573</v>
      </c>
    </row>
    <row r="240" spans="1:2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x14ac:dyDescent="0.25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730</v>
      </c>
      <c r="F241" s="1" t="s">
        <v>736</v>
      </c>
      <c r="G241" s="7" t="s">
        <v>4</v>
      </c>
      <c r="H241" s="1" t="s">
        <v>575</v>
      </c>
      <c r="J241" s="1" t="s">
        <v>8</v>
      </c>
      <c r="L241" s="1" t="s">
        <v>13</v>
      </c>
      <c r="N241" s="1" t="s">
        <v>576</v>
      </c>
    </row>
    <row r="242" spans="1:25" x14ac:dyDescent="0.25">
      <c r="A242">
        <v>17</v>
      </c>
      <c r="B242" t="s">
        <v>577</v>
      </c>
      <c r="C242" t="s">
        <v>543</v>
      </c>
      <c r="D242" t="s">
        <v>578</v>
      </c>
      <c r="E242" t="s">
        <v>545</v>
      </c>
      <c r="F242" t="s">
        <v>739</v>
      </c>
      <c r="G242" s="12" t="s">
        <v>788</v>
      </c>
      <c r="H242" t="s">
        <v>579</v>
      </c>
      <c r="J242" t="s">
        <v>581</v>
      </c>
      <c r="L242" t="s">
        <v>580</v>
      </c>
      <c r="N242" t="s">
        <v>582</v>
      </c>
    </row>
    <row r="243" spans="1:25" x14ac:dyDescent="0.25">
      <c r="A243">
        <v>17</v>
      </c>
      <c r="B243" t="s">
        <v>577</v>
      </c>
      <c r="C243" t="s">
        <v>543</v>
      </c>
      <c r="D243" t="s">
        <v>578</v>
      </c>
      <c r="E243" t="s">
        <v>545</v>
      </c>
      <c r="F243" t="s">
        <v>739</v>
      </c>
      <c r="G243" s="12" t="s">
        <v>788</v>
      </c>
      <c r="H243" t="s">
        <v>583</v>
      </c>
      <c r="J243" t="s">
        <v>585</v>
      </c>
      <c r="L243" t="s">
        <v>584</v>
      </c>
      <c r="N243" t="s">
        <v>586</v>
      </c>
    </row>
    <row r="244" spans="1:2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x14ac:dyDescent="0.25">
      <c r="A245" s="1" t="s">
        <v>0</v>
      </c>
      <c r="B245" s="1" t="s">
        <v>1</v>
      </c>
      <c r="C245" s="1" t="s">
        <v>2</v>
      </c>
      <c r="D245" s="1" t="s">
        <v>3</v>
      </c>
      <c r="E245" s="1" t="s">
        <v>730</v>
      </c>
      <c r="F245" s="1" t="s">
        <v>736</v>
      </c>
      <c r="G245" s="7" t="s">
        <v>4</v>
      </c>
      <c r="H245" s="1" t="s">
        <v>735</v>
      </c>
      <c r="J245" s="1" t="s">
        <v>8</v>
      </c>
      <c r="N245" s="1" t="s">
        <v>595</v>
      </c>
      <c r="P245" s="1" t="s">
        <v>598</v>
      </c>
      <c r="Q245" s="1" t="s">
        <v>14</v>
      </c>
      <c r="W245" s="5" t="s">
        <v>601</v>
      </c>
      <c r="X245" s="5" t="s">
        <v>604</v>
      </c>
    </row>
    <row r="246" spans="1:25" x14ac:dyDescent="0.25">
      <c r="A246">
        <v>18</v>
      </c>
      <c r="B246" t="s">
        <v>589</v>
      </c>
      <c r="C246" t="s">
        <v>590</v>
      </c>
      <c r="D246" t="s">
        <v>591</v>
      </c>
      <c r="E246" t="s">
        <v>592</v>
      </c>
      <c r="F246" t="s">
        <v>27</v>
      </c>
      <c r="G246" s="12" t="s">
        <v>788</v>
      </c>
      <c r="H246" t="s">
        <v>587</v>
      </c>
      <c r="J246" t="s">
        <v>593</v>
      </c>
      <c r="N246" t="s">
        <v>596</v>
      </c>
      <c r="P246" t="s">
        <v>599</v>
      </c>
      <c r="Q246" t="s">
        <v>261</v>
      </c>
      <c r="W246" s="6" t="s">
        <v>602</v>
      </c>
      <c r="X246" s="6" t="s">
        <v>605</v>
      </c>
    </row>
    <row r="247" spans="1:25" x14ac:dyDescent="0.25">
      <c r="A247">
        <v>18</v>
      </c>
      <c r="B247" t="s">
        <v>589</v>
      </c>
      <c r="C247" t="s">
        <v>590</v>
      </c>
      <c r="D247" t="s">
        <v>591</v>
      </c>
      <c r="E247" t="s">
        <v>592</v>
      </c>
      <c r="F247" t="s">
        <v>27</v>
      </c>
      <c r="G247" s="12" t="s">
        <v>789</v>
      </c>
      <c r="H247" t="s">
        <v>588</v>
      </c>
      <c r="J247" t="s">
        <v>594</v>
      </c>
      <c r="N247" t="s">
        <v>597</v>
      </c>
      <c r="P247" t="s">
        <v>600</v>
      </c>
      <c r="Q247" t="s">
        <v>258</v>
      </c>
      <c r="W247" s="6" t="s">
        <v>603</v>
      </c>
      <c r="X247" s="6" t="s">
        <v>606</v>
      </c>
    </row>
    <row r="248" spans="1:2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x14ac:dyDescent="0.25">
      <c r="A249" s="1" t="s">
        <v>0</v>
      </c>
      <c r="B249" s="1" t="s">
        <v>1</v>
      </c>
      <c r="C249" s="1" t="s">
        <v>2</v>
      </c>
      <c r="D249" s="1" t="s">
        <v>3</v>
      </c>
      <c r="E249" s="1" t="s">
        <v>730</v>
      </c>
      <c r="F249" s="1" t="s">
        <v>736</v>
      </c>
      <c r="G249" s="7" t="s">
        <v>4</v>
      </c>
      <c r="H249" s="1" t="s">
        <v>608</v>
      </c>
      <c r="J249" s="1" t="s">
        <v>611</v>
      </c>
      <c r="N249" s="1" t="s">
        <v>609</v>
      </c>
      <c r="O249" s="1" t="s">
        <v>610</v>
      </c>
      <c r="W249" s="5" t="s">
        <v>612</v>
      </c>
    </row>
    <row r="250" spans="1:25" x14ac:dyDescent="0.25">
      <c r="A250">
        <v>19</v>
      </c>
      <c r="B250" t="s">
        <v>613</v>
      </c>
      <c r="C250" t="s">
        <v>614</v>
      </c>
      <c r="D250" t="s">
        <v>615</v>
      </c>
      <c r="E250" t="s">
        <v>616</v>
      </c>
      <c r="F250" t="s">
        <v>740</v>
      </c>
      <c r="G250" s="12" t="s">
        <v>790</v>
      </c>
      <c r="H250" t="s">
        <v>617</v>
      </c>
      <c r="J250" t="s">
        <v>176</v>
      </c>
      <c r="N250" t="s">
        <v>618</v>
      </c>
      <c r="O250" t="s">
        <v>619</v>
      </c>
      <c r="W250" s="6" t="s">
        <v>620</v>
      </c>
    </row>
    <row r="251" spans="1:25" x14ac:dyDescent="0.25">
      <c r="A251">
        <v>19</v>
      </c>
      <c r="B251" t="s">
        <v>613</v>
      </c>
      <c r="C251" t="s">
        <v>614</v>
      </c>
      <c r="D251" t="s">
        <v>615</v>
      </c>
      <c r="E251" t="s">
        <v>616</v>
      </c>
      <c r="F251" t="s">
        <v>740</v>
      </c>
      <c r="G251" s="12" t="s">
        <v>786</v>
      </c>
      <c r="H251" t="s">
        <v>621</v>
      </c>
      <c r="J251" t="s">
        <v>33</v>
      </c>
      <c r="N251" t="s">
        <v>622</v>
      </c>
      <c r="O251" t="s">
        <v>623</v>
      </c>
      <c r="W251" s="6" t="s">
        <v>624</v>
      </c>
    </row>
    <row r="252" spans="1:25" x14ac:dyDescent="0.25">
      <c r="A252">
        <v>19</v>
      </c>
      <c r="B252" t="s">
        <v>613</v>
      </c>
      <c r="C252" t="s">
        <v>614</v>
      </c>
      <c r="D252" t="s">
        <v>615</v>
      </c>
      <c r="E252" t="s">
        <v>616</v>
      </c>
      <c r="F252" t="s">
        <v>740</v>
      </c>
      <c r="G252" s="12" t="s">
        <v>788</v>
      </c>
      <c r="H252" t="s">
        <v>625</v>
      </c>
      <c r="J252" t="s">
        <v>268</v>
      </c>
      <c r="N252" t="s">
        <v>626</v>
      </c>
      <c r="O252" t="s">
        <v>626</v>
      </c>
      <c r="W252" s="6" t="s">
        <v>627</v>
      </c>
    </row>
    <row r="253" spans="1:25" x14ac:dyDescent="0.25">
      <c r="A253">
        <v>19</v>
      </c>
      <c r="B253" t="s">
        <v>613</v>
      </c>
      <c r="C253" t="s">
        <v>614</v>
      </c>
      <c r="D253" t="s">
        <v>615</v>
      </c>
      <c r="E253" t="s">
        <v>616</v>
      </c>
      <c r="F253" t="s">
        <v>740</v>
      </c>
      <c r="G253" s="12" t="s">
        <v>786</v>
      </c>
      <c r="H253" t="s">
        <v>628</v>
      </c>
      <c r="J253" t="s">
        <v>482</v>
      </c>
      <c r="N253" t="s">
        <v>629</v>
      </c>
      <c r="O253" t="s">
        <v>630</v>
      </c>
      <c r="W253" s="6" t="s">
        <v>631</v>
      </c>
    </row>
    <row r="254" spans="1:25" x14ac:dyDescent="0.25">
      <c r="A254">
        <v>19</v>
      </c>
      <c r="B254" t="s">
        <v>613</v>
      </c>
      <c r="C254" t="s">
        <v>614</v>
      </c>
      <c r="D254" t="s">
        <v>615</v>
      </c>
      <c r="E254" t="s">
        <v>616</v>
      </c>
      <c r="F254" t="s">
        <v>740</v>
      </c>
      <c r="G254" s="12" t="s">
        <v>786</v>
      </c>
      <c r="H254" t="s">
        <v>632</v>
      </c>
      <c r="J254" t="s">
        <v>33</v>
      </c>
      <c r="N254" t="s">
        <v>633</v>
      </c>
      <c r="O254" t="s">
        <v>630</v>
      </c>
      <c r="W254" s="6" t="s">
        <v>631</v>
      </c>
    </row>
    <row r="255" spans="1:2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x14ac:dyDescent="0.25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730</v>
      </c>
      <c r="F256" s="1" t="s">
        <v>736</v>
      </c>
      <c r="G256" s="7" t="s">
        <v>4</v>
      </c>
      <c r="H256" s="1" t="s">
        <v>748</v>
      </c>
      <c r="J256" s="1" t="s">
        <v>635</v>
      </c>
      <c r="L256" s="1" t="s">
        <v>13</v>
      </c>
      <c r="P256" s="1" t="s">
        <v>636</v>
      </c>
      <c r="W256" s="5" t="s">
        <v>637</v>
      </c>
    </row>
    <row r="257" spans="1:25" x14ac:dyDescent="0.25">
      <c r="A257">
        <v>20</v>
      </c>
      <c r="B257" t="s">
        <v>638</v>
      </c>
      <c r="C257" t="s">
        <v>639</v>
      </c>
      <c r="D257" t="s">
        <v>640</v>
      </c>
      <c r="E257" t="s">
        <v>545</v>
      </c>
      <c r="F257" t="s">
        <v>741</v>
      </c>
      <c r="G257" s="12" t="s">
        <v>788</v>
      </c>
      <c r="H257" t="s">
        <v>641</v>
      </c>
      <c r="J257">
        <v>50</v>
      </c>
      <c r="L257" t="s">
        <v>642</v>
      </c>
      <c r="P257">
        <v>24</v>
      </c>
      <c r="W257" s="6">
        <v>1</v>
      </c>
    </row>
    <row r="258" spans="1:25" x14ac:dyDescent="0.25">
      <c r="A258">
        <v>20</v>
      </c>
      <c r="B258" t="s">
        <v>638</v>
      </c>
      <c r="C258" t="s">
        <v>639</v>
      </c>
      <c r="D258" t="s">
        <v>640</v>
      </c>
      <c r="E258" t="s">
        <v>545</v>
      </c>
      <c r="F258" t="s">
        <v>741</v>
      </c>
      <c r="G258" s="12" t="s">
        <v>788</v>
      </c>
      <c r="H258" t="s">
        <v>643</v>
      </c>
      <c r="J258">
        <v>100</v>
      </c>
      <c r="L258" t="s">
        <v>642</v>
      </c>
      <c r="P258">
        <v>512</v>
      </c>
      <c r="W258" s="6">
        <v>2</v>
      </c>
    </row>
    <row r="259" spans="1:25" x14ac:dyDescent="0.25">
      <c r="A259">
        <v>20</v>
      </c>
      <c r="B259" t="s">
        <v>638</v>
      </c>
      <c r="C259" t="s">
        <v>639</v>
      </c>
      <c r="D259" t="s">
        <v>640</v>
      </c>
      <c r="E259" t="s">
        <v>545</v>
      </c>
      <c r="F259" t="s">
        <v>741</v>
      </c>
      <c r="G259" s="12" t="s">
        <v>788</v>
      </c>
      <c r="H259" t="s">
        <v>644</v>
      </c>
      <c r="J259">
        <v>500</v>
      </c>
      <c r="L259" s="3" t="s">
        <v>710</v>
      </c>
      <c r="P259">
        <v>250</v>
      </c>
      <c r="W259" s="6">
        <v>3</v>
      </c>
    </row>
    <row r="260" spans="1:2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x14ac:dyDescent="0.25">
      <c r="A261" s="1" t="s">
        <v>0</v>
      </c>
      <c r="B261" s="1" t="s">
        <v>1</v>
      </c>
      <c r="C261" s="1" t="s">
        <v>2</v>
      </c>
      <c r="D261" s="1" t="s">
        <v>3</v>
      </c>
      <c r="E261" s="1" t="s">
        <v>730</v>
      </c>
      <c r="F261" s="1" t="s">
        <v>736</v>
      </c>
      <c r="G261" s="7" t="s">
        <v>4</v>
      </c>
      <c r="H261" s="1" t="s">
        <v>647</v>
      </c>
      <c r="J261" s="1" t="s">
        <v>8</v>
      </c>
      <c r="N261" s="1" t="s">
        <v>576</v>
      </c>
      <c r="O261" s="1" t="s">
        <v>648</v>
      </c>
      <c r="Q261" s="1" t="s">
        <v>649</v>
      </c>
      <c r="S261" s="1" t="s">
        <v>539</v>
      </c>
      <c r="U261" s="1" t="s">
        <v>651</v>
      </c>
      <c r="V261" s="1"/>
      <c r="W261" s="5" t="s">
        <v>650</v>
      </c>
    </row>
    <row r="262" spans="1:25" x14ac:dyDescent="0.25">
      <c r="A262">
        <v>21</v>
      </c>
      <c r="B262" t="s">
        <v>652</v>
      </c>
      <c r="C262" t="s">
        <v>639</v>
      </c>
      <c r="D262" t="s">
        <v>653</v>
      </c>
      <c r="E262" t="s">
        <v>654</v>
      </c>
      <c r="F262" t="s">
        <v>742</v>
      </c>
      <c r="G262" s="12" t="s">
        <v>744</v>
      </c>
      <c r="H262" t="s">
        <v>655</v>
      </c>
      <c r="J262" t="s">
        <v>661</v>
      </c>
      <c r="N262" t="s">
        <v>656</v>
      </c>
      <c r="O262" t="s">
        <v>657</v>
      </c>
      <c r="Q262" t="s">
        <v>658</v>
      </c>
      <c r="S262" t="s">
        <v>660</v>
      </c>
      <c r="U262" t="s">
        <v>330</v>
      </c>
      <c r="W262" s="6" t="s">
        <v>659</v>
      </c>
    </row>
    <row r="263" spans="1:25" x14ac:dyDescent="0.25">
      <c r="A263">
        <v>21</v>
      </c>
      <c r="B263" t="s">
        <v>652</v>
      </c>
      <c r="C263" t="s">
        <v>639</v>
      </c>
      <c r="D263" t="s">
        <v>653</v>
      </c>
      <c r="E263" t="s">
        <v>654</v>
      </c>
      <c r="F263" t="s">
        <v>742</v>
      </c>
      <c r="G263" s="12" t="s">
        <v>744</v>
      </c>
      <c r="H263" t="s">
        <v>662</v>
      </c>
      <c r="J263" t="s">
        <v>661</v>
      </c>
      <c r="N263" t="s">
        <v>656</v>
      </c>
      <c r="O263" t="s">
        <v>663</v>
      </c>
      <c r="Q263" t="s">
        <v>658</v>
      </c>
      <c r="S263" t="s">
        <v>320</v>
      </c>
      <c r="U263" t="s">
        <v>330</v>
      </c>
      <c r="W263" s="6" t="s">
        <v>664</v>
      </c>
    </row>
    <row r="264" spans="1:25" x14ac:dyDescent="0.25">
      <c r="A264">
        <v>21</v>
      </c>
      <c r="B264" t="s">
        <v>652</v>
      </c>
      <c r="C264" t="s">
        <v>639</v>
      </c>
      <c r="D264" t="s">
        <v>653</v>
      </c>
      <c r="E264" t="s">
        <v>654</v>
      </c>
      <c r="F264" t="s">
        <v>742</v>
      </c>
      <c r="G264" s="12" t="s">
        <v>744</v>
      </c>
      <c r="H264" t="s">
        <v>665</v>
      </c>
      <c r="J264" t="s">
        <v>661</v>
      </c>
      <c r="N264" t="s">
        <v>162</v>
      </c>
      <c r="O264" t="s">
        <v>658</v>
      </c>
      <c r="Q264">
        <v>2</v>
      </c>
      <c r="S264" t="s">
        <v>330</v>
      </c>
      <c r="U264" t="s">
        <v>327</v>
      </c>
      <c r="W264" s="6" t="s">
        <v>658</v>
      </c>
    </row>
    <row r="265" spans="1:25" x14ac:dyDescent="0.25">
      <c r="A265">
        <v>21</v>
      </c>
      <c r="B265" t="s">
        <v>652</v>
      </c>
      <c r="C265" t="s">
        <v>639</v>
      </c>
      <c r="D265" t="s">
        <v>653</v>
      </c>
      <c r="E265" t="s">
        <v>654</v>
      </c>
      <c r="F265" t="s">
        <v>742</v>
      </c>
      <c r="G265" s="12" t="s">
        <v>744</v>
      </c>
      <c r="H265" t="s">
        <v>666</v>
      </c>
      <c r="J265" t="s">
        <v>661</v>
      </c>
      <c r="N265" t="s">
        <v>667</v>
      </c>
      <c r="O265" t="s">
        <v>668</v>
      </c>
      <c r="Q265" t="s">
        <v>658</v>
      </c>
      <c r="S265" t="s">
        <v>320</v>
      </c>
      <c r="U265" t="s">
        <v>658</v>
      </c>
      <c r="W265" s="6" t="s">
        <v>658</v>
      </c>
    </row>
    <row r="266" spans="1:25" x14ac:dyDescent="0.25">
      <c r="A266">
        <v>21</v>
      </c>
      <c r="B266" t="s">
        <v>652</v>
      </c>
      <c r="C266" t="s">
        <v>639</v>
      </c>
      <c r="D266" t="s">
        <v>653</v>
      </c>
      <c r="E266" t="s">
        <v>654</v>
      </c>
      <c r="F266" t="s">
        <v>742</v>
      </c>
      <c r="G266" s="12" t="s">
        <v>744</v>
      </c>
      <c r="H266" t="s">
        <v>669</v>
      </c>
      <c r="J266" t="s">
        <v>64</v>
      </c>
      <c r="N266" t="s">
        <v>670</v>
      </c>
      <c r="O266" t="s">
        <v>663</v>
      </c>
      <c r="Q266" t="s">
        <v>671</v>
      </c>
      <c r="S266" t="s">
        <v>330</v>
      </c>
      <c r="U266" t="s">
        <v>330</v>
      </c>
      <c r="W266" s="6" t="s">
        <v>664</v>
      </c>
    </row>
    <row r="267" spans="1:25" x14ac:dyDescent="0.25">
      <c r="A267">
        <v>21</v>
      </c>
      <c r="B267" t="s">
        <v>652</v>
      </c>
      <c r="C267" t="s">
        <v>639</v>
      </c>
      <c r="D267" t="s">
        <v>653</v>
      </c>
      <c r="E267" t="s">
        <v>654</v>
      </c>
      <c r="F267" t="s">
        <v>742</v>
      </c>
      <c r="G267" s="12" t="s">
        <v>744</v>
      </c>
      <c r="H267" t="s">
        <v>672</v>
      </c>
      <c r="J267" t="s">
        <v>64</v>
      </c>
      <c r="N267" t="s">
        <v>673</v>
      </c>
      <c r="O267" t="s">
        <v>658</v>
      </c>
      <c r="Q267" t="s">
        <v>658</v>
      </c>
      <c r="S267" t="s">
        <v>320</v>
      </c>
      <c r="U267" t="s">
        <v>330</v>
      </c>
      <c r="W267" s="6" t="s">
        <v>658</v>
      </c>
    </row>
    <row r="268" spans="1:25" x14ac:dyDescent="0.25">
      <c r="A268">
        <v>21</v>
      </c>
      <c r="B268" t="s">
        <v>652</v>
      </c>
      <c r="C268" t="s">
        <v>639</v>
      </c>
      <c r="D268" t="s">
        <v>653</v>
      </c>
      <c r="E268" t="s">
        <v>654</v>
      </c>
      <c r="F268" t="s">
        <v>742</v>
      </c>
      <c r="G268" s="12" t="s">
        <v>744</v>
      </c>
      <c r="H268" t="s">
        <v>674</v>
      </c>
      <c r="J268" t="s">
        <v>64</v>
      </c>
      <c r="N268" t="s">
        <v>675</v>
      </c>
      <c r="O268" t="s">
        <v>658</v>
      </c>
      <c r="Q268" t="s">
        <v>676</v>
      </c>
      <c r="S268" t="s">
        <v>330</v>
      </c>
      <c r="U268" t="s">
        <v>327</v>
      </c>
      <c r="W268" s="6" t="s">
        <v>658</v>
      </c>
    </row>
    <row r="269" spans="1:25" x14ac:dyDescent="0.25">
      <c r="A269">
        <v>21</v>
      </c>
      <c r="B269" t="s">
        <v>652</v>
      </c>
      <c r="C269" t="s">
        <v>639</v>
      </c>
      <c r="D269" t="s">
        <v>653</v>
      </c>
      <c r="E269" t="s">
        <v>654</v>
      </c>
      <c r="F269" t="s">
        <v>742</v>
      </c>
      <c r="G269" s="12" t="s">
        <v>744</v>
      </c>
      <c r="H269" t="s">
        <v>677</v>
      </c>
      <c r="J269" t="s">
        <v>661</v>
      </c>
      <c r="N269" t="s">
        <v>675</v>
      </c>
      <c r="O269" t="s">
        <v>678</v>
      </c>
      <c r="Q269" t="s">
        <v>676</v>
      </c>
      <c r="S269" t="s">
        <v>330</v>
      </c>
      <c r="U269" t="s">
        <v>330</v>
      </c>
      <c r="W269" s="6" t="s">
        <v>664</v>
      </c>
    </row>
    <row r="270" spans="1:25" x14ac:dyDescent="0.25">
      <c r="A270">
        <v>21</v>
      </c>
      <c r="B270" t="s">
        <v>652</v>
      </c>
      <c r="C270" t="s">
        <v>639</v>
      </c>
      <c r="D270" t="s">
        <v>653</v>
      </c>
      <c r="E270" t="s">
        <v>654</v>
      </c>
      <c r="F270" t="s">
        <v>742</v>
      </c>
      <c r="G270" s="12" t="s">
        <v>744</v>
      </c>
      <c r="H270" t="s">
        <v>679</v>
      </c>
      <c r="J270" t="s">
        <v>64</v>
      </c>
      <c r="N270" t="s">
        <v>680</v>
      </c>
      <c r="O270" t="s">
        <v>681</v>
      </c>
      <c r="Q270" t="s">
        <v>671</v>
      </c>
      <c r="S270" t="s">
        <v>320</v>
      </c>
      <c r="U270" t="s">
        <v>658</v>
      </c>
      <c r="W270" s="6" t="s">
        <v>659</v>
      </c>
    </row>
    <row r="271" spans="1:25" x14ac:dyDescent="0.25">
      <c r="A271">
        <v>21</v>
      </c>
      <c r="B271" t="s">
        <v>652</v>
      </c>
      <c r="C271" t="s">
        <v>639</v>
      </c>
      <c r="D271" t="s">
        <v>653</v>
      </c>
      <c r="E271" t="s">
        <v>654</v>
      </c>
      <c r="F271" t="s">
        <v>742</v>
      </c>
      <c r="G271" s="12" t="s">
        <v>744</v>
      </c>
      <c r="H271" t="s">
        <v>682</v>
      </c>
      <c r="J271" t="s">
        <v>64</v>
      </c>
      <c r="N271" t="s">
        <v>675</v>
      </c>
      <c r="O271" t="s">
        <v>658</v>
      </c>
      <c r="Q271" t="s">
        <v>676</v>
      </c>
      <c r="S271" t="s">
        <v>320</v>
      </c>
      <c r="U271" t="s">
        <v>658</v>
      </c>
      <c r="W271" s="6" t="s">
        <v>658</v>
      </c>
    </row>
    <row r="272" spans="1:25" x14ac:dyDescent="0.25">
      <c r="A272">
        <v>21</v>
      </c>
      <c r="B272" t="s">
        <v>652</v>
      </c>
      <c r="C272" t="s">
        <v>639</v>
      </c>
      <c r="D272" t="s">
        <v>653</v>
      </c>
      <c r="E272" t="s">
        <v>654</v>
      </c>
      <c r="F272" t="s">
        <v>742</v>
      </c>
      <c r="G272" s="12" t="s">
        <v>744</v>
      </c>
      <c r="H272" t="s">
        <v>683</v>
      </c>
      <c r="J272" t="s">
        <v>661</v>
      </c>
      <c r="N272" t="s">
        <v>684</v>
      </c>
      <c r="O272" t="s">
        <v>685</v>
      </c>
      <c r="Q272" t="s">
        <v>658</v>
      </c>
      <c r="S272" t="s">
        <v>320</v>
      </c>
      <c r="U272" t="s">
        <v>658</v>
      </c>
      <c r="W272" s="6" t="s">
        <v>664</v>
      </c>
    </row>
    <row r="273" spans="1:2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x14ac:dyDescent="0.25">
      <c r="A274" s="1" t="s">
        <v>0</v>
      </c>
      <c r="B274" s="1" t="s">
        <v>1</v>
      </c>
      <c r="C274" s="1" t="s">
        <v>2</v>
      </c>
      <c r="D274" s="1" t="s">
        <v>3</v>
      </c>
      <c r="E274" s="1" t="s">
        <v>730</v>
      </c>
      <c r="F274" s="1" t="s">
        <v>736</v>
      </c>
      <c r="G274" s="7" t="s">
        <v>4</v>
      </c>
      <c r="H274" s="1" t="s">
        <v>575</v>
      </c>
      <c r="J274" s="1" t="s">
        <v>8</v>
      </c>
      <c r="L274" s="1" t="s">
        <v>13</v>
      </c>
      <c r="P274" s="1" t="s">
        <v>691</v>
      </c>
      <c r="W274" s="5" t="s">
        <v>690</v>
      </c>
      <c r="X274" s="5" t="s">
        <v>692</v>
      </c>
    </row>
    <row r="275" spans="1:25" x14ac:dyDescent="0.25">
      <c r="A275">
        <v>22</v>
      </c>
      <c r="B275" t="s">
        <v>687</v>
      </c>
      <c r="C275" t="s">
        <v>688</v>
      </c>
      <c r="D275" t="s">
        <v>689</v>
      </c>
      <c r="E275" t="s">
        <v>545</v>
      </c>
      <c r="F275" t="s">
        <v>743</v>
      </c>
      <c r="G275" s="12" t="s">
        <v>788</v>
      </c>
      <c r="H275" t="s">
        <v>695</v>
      </c>
      <c r="J275" t="s">
        <v>172</v>
      </c>
      <c r="L275" t="s">
        <v>642</v>
      </c>
      <c r="P275" t="s">
        <v>694</v>
      </c>
      <c r="W275" s="6" t="s">
        <v>693</v>
      </c>
      <c r="X275" s="6">
        <v>1</v>
      </c>
    </row>
    <row r="276" spans="1:25" x14ac:dyDescent="0.25">
      <c r="A276">
        <v>22</v>
      </c>
      <c r="B276" t="s">
        <v>687</v>
      </c>
      <c r="C276" t="s">
        <v>688</v>
      </c>
      <c r="D276" t="s">
        <v>689</v>
      </c>
      <c r="E276" t="s">
        <v>545</v>
      </c>
      <c r="F276" t="s">
        <v>743</v>
      </c>
      <c r="G276" s="12" t="s">
        <v>788</v>
      </c>
      <c r="H276" t="s">
        <v>698</v>
      </c>
      <c r="J276" t="s">
        <v>35</v>
      </c>
      <c r="L276" t="s">
        <v>642</v>
      </c>
      <c r="P276" t="s">
        <v>697</v>
      </c>
      <c r="W276" s="6" t="s">
        <v>696</v>
      </c>
      <c r="X276" s="6">
        <v>2</v>
      </c>
    </row>
    <row r="277" spans="1:25" x14ac:dyDescent="0.25">
      <c r="A277">
        <v>22</v>
      </c>
      <c r="B277" t="s">
        <v>687</v>
      </c>
      <c r="C277" t="s">
        <v>688</v>
      </c>
      <c r="D277" t="s">
        <v>689</v>
      </c>
      <c r="E277" t="s">
        <v>545</v>
      </c>
      <c r="F277" t="s">
        <v>743</v>
      </c>
      <c r="G277" s="12" t="s">
        <v>788</v>
      </c>
      <c r="H277" t="s">
        <v>701</v>
      </c>
      <c r="J277" t="s">
        <v>474</v>
      </c>
      <c r="L277" t="s">
        <v>645</v>
      </c>
      <c r="P277" t="s">
        <v>700</v>
      </c>
      <c r="W277" s="6" t="s">
        <v>699</v>
      </c>
      <c r="X277" s="6">
        <v>3</v>
      </c>
    </row>
    <row r="278" spans="1:2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5F49-72B2-4A00-B066-6CBC77C10F76}">
  <dimension ref="A1:C50"/>
  <sheetViews>
    <sheetView topLeftCell="A15" workbookViewId="0"/>
  </sheetViews>
  <sheetFormatPr defaultRowHeight="15" x14ac:dyDescent="0.25"/>
  <cols>
    <col min="1" max="1" width="33.140625" customWidth="1"/>
    <col min="2" max="3" width="50.7109375" style="15" customWidth="1"/>
  </cols>
  <sheetData>
    <row r="1" spans="1:3" x14ac:dyDescent="0.25">
      <c r="B1" s="21" t="s">
        <v>822</v>
      </c>
    </row>
    <row r="2" spans="1:3" x14ac:dyDescent="0.25">
      <c r="A2" s="4"/>
      <c r="B2" s="22"/>
      <c r="C2" s="22"/>
    </row>
    <row r="3" spans="1:3" x14ac:dyDescent="0.25">
      <c r="A3" s="20"/>
      <c r="B3" s="17" t="s">
        <v>787</v>
      </c>
      <c r="C3" s="16"/>
    </row>
    <row r="4" spans="1:3" x14ac:dyDescent="0.25">
      <c r="A4" s="17" t="s">
        <v>828</v>
      </c>
      <c r="B4" s="17" t="s">
        <v>829</v>
      </c>
      <c r="C4" s="17" t="s">
        <v>830</v>
      </c>
    </row>
    <row r="5" spans="1:3" ht="30.75" customHeight="1" x14ac:dyDescent="0.25">
      <c r="A5" s="19" t="s">
        <v>823</v>
      </c>
      <c r="B5" s="18" t="s">
        <v>831</v>
      </c>
      <c r="C5" s="18" t="s">
        <v>832</v>
      </c>
    </row>
    <row r="6" spans="1:3" ht="39.75" customHeight="1" x14ac:dyDescent="0.25">
      <c r="A6" s="19" t="s">
        <v>833</v>
      </c>
      <c r="B6" s="18" t="s">
        <v>834</v>
      </c>
      <c r="C6" s="18" t="s">
        <v>835</v>
      </c>
    </row>
    <row r="7" spans="1:3" ht="36" customHeight="1" x14ac:dyDescent="0.25">
      <c r="A7" s="19" t="s">
        <v>836</v>
      </c>
      <c r="B7" s="18" t="s">
        <v>837</v>
      </c>
      <c r="C7" s="18" t="s">
        <v>838</v>
      </c>
    </row>
    <row r="8" spans="1:3" ht="41.25" customHeight="1" x14ac:dyDescent="0.25">
      <c r="A8" s="19" t="s">
        <v>825</v>
      </c>
      <c r="B8" s="18" t="s">
        <v>839</v>
      </c>
      <c r="C8" s="18" t="s">
        <v>840</v>
      </c>
    </row>
    <row r="9" spans="1:3" ht="30" customHeight="1" x14ac:dyDescent="0.25">
      <c r="A9" s="19" t="s">
        <v>826</v>
      </c>
      <c r="B9" s="18" t="s">
        <v>841</v>
      </c>
      <c r="C9" s="18" t="s">
        <v>842</v>
      </c>
    </row>
    <row r="10" spans="1:3" ht="29.25" customHeight="1" x14ac:dyDescent="0.25">
      <c r="A10" s="19" t="s">
        <v>843</v>
      </c>
      <c r="B10" s="18" t="s">
        <v>844</v>
      </c>
      <c r="C10" s="18" t="s">
        <v>845</v>
      </c>
    </row>
    <row r="11" spans="1:3" x14ac:dyDescent="0.25">
      <c r="A11" s="4"/>
      <c r="B11" s="22"/>
      <c r="C11" s="22"/>
    </row>
    <row r="12" spans="1:3" x14ac:dyDescent="0.25">
      <c r="A12" s="20"/>
      <c r="B12" s="21" t="s">
        <v>786</v>
      </c>
      <c r="C12" s="16"/>
    </row>
    <row r="13" spans="1:3" x14ac:dyDescent="0.25">
      <c r="A13" s="17" t="s">
        <v>828</v>
      </c>
      <c r="B13" s="17" t="s">
        <v>829</v>
      </c>
      <c r="C13" s="17" t="s">
        <v>830</v>
      </c>
    </row>
    <row r="14" spans="1:3" ht="60" x14ac:dyDescent="0.25">
      <c r="A14" s="19" t="s">
        <v>846</v>
      </c>
      <c r="B14" s="18" t="s">
        <v>851</v>
      </c>
      <c r="C14" s="18" t="s">
        <v>856</v>
      </c>
    </row>
    <row r="15" spans="1:3" ht="45" x14ac:dyDescent="0.25">
      <c r="A15" s="19" t="s">
        <v>847</v>
      </c>
      <c r="B15" s="18" t="s">
        <v>852</v>
      </c>
      <c r="C15" s="18" t="s">
        <v>855</v>
      </c>
    </row>
    <row r="16" spans="1:3" ht="60" x14ac:dyDescent="0.25">
      <c r="A16" s="19" t="s">
        <v>849</v>
      </c>
      <c r="B16" s="18" t="s">
        <v>853</v>
      </c>
      <c r="C16" s="18" t="s">
        <v>854</v>
      </c>
    </row>
    <row r="17" spans="1:3" x14ac:dyDescent="0.25">
      <c r="A17" s="4"/>
      <c r="B17" s="22"/>
      <c r="C17" s="22"/>
    </row>
    <row r="18" spans="1:3" x14ac:dyDescent="0.25">
      <c r="A18" s="21"/>
      <c r="B18" s="21" t="s">
        <v>785</v>
      </c>
      <c r="C18" s="17"/>
    </row>
    <row r="19" spans="1:3" x14ac:dyDescent="0.25">
      <c r="A19" s="17" t="s">
        <v>828</v>
      </c>
      <c r="B19" s="17" t="s">
        <v>829</v>
      </c>
      <c r="C19" s="17" t="s">
        <v>830</v>
      </c>
    </row>
    <row r="20" spans="1:3" ht="75" x14ac:dyDescent="0.25">
      <c r="A20" s="19" t="s">
        <v>860</v>
      </c>
      <c r="B20" s="18" t="s">
        <v>861</v>
      </c>
      <c r="C20" s="18" t="s">
        <v>862</v>
      </c>
    </row>
    <row r="21" spans="1:3" ht="60" x14ac:dyDescent="0.25">
      <c r="A21" s="19" t="s">
        <v>859</v>
      </c>
      <c r="B21" s="18" t="s">
        <v>863</v>
      </c>
      <c r="C21" s="18" t="s">
        <v>864</v>
      </c>
    </row>
    <row r="22" spans="1:3" ht="120" x14ac:dyDescent="0.25">
      <c r="A22" s="19" t="s">
        <v>858</v>
      </c>
      <c r="B22" s="18" t="s">
        <v>914</v>
      </c>
      <c r="C22" s="18" t="s">
        <v>915</v>
      </c>
    </row>
    <row r="23" spans="1:3" x14ac:dyDescent="0.25">
      <c r="A23" s="4"/>
      <c r="B23" s="22"/>
      <c r="C23" s="22"/>
    </row>
    <row r="24" spans="1:3" x14ac:dyDescent="0.25">
      <c r="A24" s="21"/>
      <c r="B24" s="17" t="s">
        <v>744</v>
      </c>
      <c r="C24" s="17"/>
    </row>
    <row r="25" spans="1:3" x14ac:dyDescent="0.25">
      <c r="A25" s="17" t="s">
        <v>828</v>
      </c>
      <c r="B25" s="17" t="s">
        <v>829</v>
      </c>
      <c r="C25" s="17" t="s">
        <v>830</v>
      </c>
    </row>
    <row r="26" spans="1:3" ht="75" x14ac:dyDescent="0.25">
      <c r="A26" s="19" t="s">
        <v>867</v>
      </c>
      <c r="B26" s="18" t="s">
        <v>868</v>
      </c>
      <c r="C26" s="18" t="s">
        <v>871</v>
      </c>
    </row>
    <row r="27" spans="1:3" ht="30" x14ac:dyDescent="0.25">
      <c r="A27" s="19" t="s">
        <v>865</v>
      </c>
      <c r="B27" s="18" t="s">
        <v>869</v>
      </c>
      <c r="C27" s="18" t="s">
        <v>870</v>
      </c>
    </row>
    <row r="28" spans="1:3" x14ac:dyDescent="0.25">
      <c r="A28" s="24"/>
      <c r="B28" s="22"/>
      <c r="C28" s="25"/>
    </row>
    <row r="29" spans="1:3" x14ac:dyDescent="0.25">
      <c r="B29" s="17" t="s">
        <v>788</v>
      </c>
    </row>
    <row r="30" spans="1:3" x14ac:dyDescent="0.25">
      <c r="A30" s="17" t="s">
        <v>828</v>
      </c>
      <c r="B30" s="17" t="s">
        <v>829</v>
      </c>
      <c r="C30" s="17" t="s">
        <v>830</v>
      </c>
    </row>
    <row r="31" spans="1:3" ht="60" x14ac:dyDescent="0.25">
      <c r="A31" s="19" t="s">
        <v>873</v>
      </c>
      <c r="B31" s="18" t="s">
        <v>880</v>
      </c>
      <c r="C31" s="18" t="s">
        <v>881</v>
      </c>
    </row>
    <row r="32" spans="1:3" ht="45" x14ac:dyDescent="0.25">
      <c r="A32" s="19" t="s">
        <v>872</v>
      </c>
      <c r="B32" s="18" t="s">
        <v>882</v>
      </c>
      <c r="C32" s="18" t="s">
        <v>883</v>
      </c>
    </row>
    <row r="33" spans="1:3" ht="60" x14ac:dyDescent="0.25">
      <c r="A33" s="19" t="s">
        <v>874</v>
      </c>
      <c r="B33" s="18" t="s">
        <v>884</v>
      </c>
      <c r="C33" s="18" t="s">
        <v>885</v>
      </c>
    </row>
    <row r="34" spans="1:3" ht="60" x14ac:dyDescent="0.25">
      <c r="A34" s="19" t="s">
        <v>876</v>
      </c>
      <c r="B34" s="18" t="s">
        <v>886</v>
      </c>
      <c r="C34" s="18" t="s">
        <v>887</v>
      </c>
    </row>
    <row r="35" spans="1:3" ht="60" x14ac:dyDescent="0.25">
      <c r="A35" s="19" t="s">
        <v>875</v>
      </c>
      <c r="B35" s="18" t="s">
        <v>888</v>
      </c>
      <c r="C35" s="18" t="s">
        <v>889</v>
      </c>
    </row>
    <row r="36" spans="1:3" x14ac:dyDescent="0.25">
      <c r="A36" s="4"/>
      <c r="B36" s="22"/>
      <c r="C36" s="22"/>
    </row>
    <row r="37" spans="1:3" x14ac:dyDescent="0.25">
      <c r="A37" s="21"/>
      <c r="B37" s="17" t="s">
        <v>789</v>
      </c>
      <c r="C37" s="17"/>
    </row>
    <row r="38" spans="1:3" x14ac:dyDescent="0.25">
      <c r="A38" s="17" t="s">
        <v>828</v>
      </c>
      <c r="B38" s="17" t="s">
        <v>829</v>
      </c>
      <c r="C38" s="17" t="s">
        <v>830</v>
      </c>
    </row>
    <row r="39" spans="1:3" ht="60" x14ac:dyDescent="0.25">
      <c r="A39" s="19" t="s">
        <v>890</v>
      </c>
      <c r="B39" s="18" t="s">
        <v>895</v>
      </c>
      <c r="C39" s="18" t="s">
        <v>896</v>
      </c>
    </row>
    <row r="40" spans="1:3" ht="60" x14ac:dyDescent="0.25">
      <c r="A40" s="19" t="s">
        <v>891</v>
      </c>
      <c r="B40" s="18" t="s">
        <v>897</v>
      </c>
      <c r="C40" s="18" t="s">
        <v>898</v>
      </c>
    </row>
    <row r="41" spans="1:3" ht="60" x14ac:dyDescent="0.25">
      <c r="A41" s="19" t="s">
        <v>892</v>
      </c>
      <c r="B41" s="18" t="s">
        <v>899</v>
      </c>
      <c r="C41" s="18" t="s">
        <v>900</v>
      </c>
    </row>
    <row r="42" spans="1:3" ht="75" x14ac:dyDescent="0.25">
      <c r="A42" s="19" t="s">
        <v>893</v>
      </c>
      <c r="B42" s="18" t="s">
        <v>901</v>
      </c>
      <c r="C42" s="18" t="s">
        <v>902</v>
      </c>
    </row>
    <row r="43" spans="1:3" ht="75" x14ac:dyDescent="0.25">
      <c r="A43" s="19" t="s">
        <v>894</v>
      </c>
      <c r="B43" s="18" t="s">
        <v>903</v>
      </c>
      <c r="C43" s="18" t="s">
        <v>904</v>
      </c>
    </row>
    <row r="44" spans="1:3" x14ac:dyDescent="0.25">
      <c r="A44" s="4"/>
      <c r="B44" s="22"/>
      <c r="C44" s="22"/>
    </row>
    <row r="45" spans="1:3" x14ac:dyDescent="0.25">
      <c r="A45" s="21"/>
      <c r="B45" s="21" t="s">
        <v>790</v>
      </c>
      <c r="C45" s="17"/>
    </row>
    <row r="46" spans="1:3" x14ac:dyDescent="0.25">
      <c r="A46" s="17" t="s">
        <v>828</v>
      </c>
      <c r="B46" s="17" t="s">
        <v>829</v>
      </c>
      <c r="C46" s="17" t="s">
        <v>830</v>
      </c>
    </row>
    <row r="47" spans="1:3" ht="150" x14ac:dyDescent="0.25">
      <c r="A47" s="19" t="s">
        <v>905</v>
      </c>
      <c r="B47" s="15" t="s">
        <v>908</v>
      </c>
      <c r="C47" s="15" t="s">
        <v>909</v>
      </c>
    </row>
    <row r="48" spans="1:3" ht="105" x14ac:dyDescent="0.25">
      <c r="A48" s="19" t="s">
        <v>906</v>
      </c>
      <c r="B48" s="15" t="s">
        <v>910</v>
      </c>
      <c r="C48" s="15" t="s">
        <v>911</v>
      </c>
    </row>
    <row r="49" spans="1:3" ht="90" x14ac:dyDescent="0.25">
      <c r="A49" s="19" t="s">
        <v>907</v>
      </c>
      <c r="B49" s="15" t="s">
        <v>912</v>
      </c>
      <c r="C49" s="15" t="s">
        <v>913</v>
      </c>
    </row>
    <row r="50" spans="1:3" x14ac:dyDescent="0.25">
      <c r="A50" s="4"/>
      <c r="B50" s="22"/>
      <c r="C50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AA5F-AF8F-46D5-A49D-73D612954573}">
  <dimension ref="A1:AB288"/>
  <sheetViews>
    <sheetView topLeftCell="C1" zoomScaleNormal="100" workbookViewId="0">
      <pane ySplit="1" topLeftCell="A236" activePane="bottomLeft" state="frozen"/>
      <selection pane="bottomLeft" activeCell="Y243" sqref="Y243:AB272"/>
    </sheetView>
  </sheetViews>
  <sheetFormatPr defaultRowHeight="15" x14ac:dyDescent="0.25"/>
  <cols>
    <col min="1" max="1" width="3.42578125" customWidth="1"/>
    <col min="2" max="2" width="8.5703125" customWidth="1"/>
    <col min="3" max="3" width="5.140625" customWidth="1"/>
    <col min="4" max="4" width="15.7109375" customWidth="1"/>
    <col min="5" max="6" width="10.85546875" customWidth="1"/>
    <col min="7" max="7" width="18" customWidth="1"/>
    <col min="8" max="8" width="41.7109375" customWidth="1"/>
    <col min="9" max="9" width="36" customWidth="1"/>
    <col min="10" max="23" width="15.7109375" customWidth="1"/>
    <col min="25" max="25" width="17.42578125" customWidth="1"/>
    <col min="26" max="26" width="48.28515625" customWidth="1"/>
    <col min="27" max="27" width="25.28515625" customWidth="1"/>
    <col min="28" max="28" width="20.855468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730</v>
      </c>
      <c r="F1" s="1" t="s">
        <v>736</v>
      </c>
      <c r="G1" s="1" t="s">
        <v>4</v>
      </c>
      <c r="H1" s="1" t="s">
        <v>850</v>
      </c>
      <c r="I1" s="7"/>
      <c r="J1" s="7"/>
      <c r="K1" s="1" t="s">
        <v>8</v>
      </c>
      <c r="M1" s="1" t="s">
        <v>13</v>
      </c>
      <c r="O1" s="1" t="s">
        <v>576</v>
      </c>
      <c r="Q1" s="1" t="s">
        <v>598</v>
      </c>
      <c r="R1" s="1" t="s">
        <v>705</v>
      </c>
      <c r="T1" s="1" t="s">
        <v>311</v>
      </c>
      <c r="V1" s="1" t="s">
        <v>756</v>
      </c>
      <c r="W1" s="1"/>
    </row>
    <row r="2" spans="1:23" x14ac:dyDescent="0.25">
      <c r="A2">
        <v>14</v>
      </c>
      <c r="B2" t="s">
        <v>400</v>
      </c>
      <c r="C2" t="s">
        <v>313</v>
      </c>
      <c r="D2" t="s">
        <v>401</v>
      </c>
      <c r="E2" t="s">
        <v>402</v>
      </c>
      <c r="F2" t="s">
        <v>27</v>
      </c>
      <c r="G2" t="s">
        <v>787</v>
      </c>
      <c r="H2" s="12" t="s">
        <v>823</v>
      </c>
      <c r="I2" t="s">
        <v>498</v>
      </c>
      <c r="J2" t="s">
        <v>502</v>
      </c>
      <c r="K2" t="s">
        <v>503</v>
      </c>
      <c r="M2">
        <v>99</v>
      </c>
      <c r="N2">
        <v>90</v>
      </c>
      <c r="O2" t="s">
        <v>506</v>
      </c>
      <c r="R2" t="s">
        <v>508</v>
      </c>
      <c r="S2" t="s">
        <v>509</v>
      </c>
    </row>
    <row r="3" spans="1:23" x14ac:dyDescent="0.25">
      <c r="A3">
        <v>14</v>
      </c>
      <c r="B3" t="s">
        <v>400</v>
      </c>
      <c r="C3" t="s">
        <v>313</v>
      </c>
      <c r="D3" t="s">
        <v>401</v>
      </c>
      <c r="E3" t="s">
        <v>402</v>
      </c>
      <c r="F3" t="s">
        <v>27</v>
      </c>
      <c r="G3" t="s">
        <v>787</v>
      </c>
      <c r="H3" s="12" t="s">
        <v>824</v>
      </c>
      <c r="I3" t="s">
        <v>499</v>
      </c>
      <c r="J3" t="s">
        <v>502</v>
      </c>
      <c r="K3" t="s">
        <v>504</v>
      </c>
      <c r="M3" t="s">
        <v>362</v>
      </c>
      <c r="N3">
        <v>99</v>
      </c>
      <c r="O3" t="s">
        <v>456</v>
      </c>
      <c r="R3" t="s">
        <v>508</v>
      </c>
      <c r="S3" t="s">
        <v>420</v>
      </c>
    </row>
    <row r="4" spans="1:23" x14ac:dyDescent="0.25">
      <c r="A4">
        <v>14</v>
      </c>
      <c r="B4" t="s">
        <v>400</v>
      </c>
      <c r="C4" t="s">
        <v>313</v>
      </c>
      <c r="D4" t="s">
        <v>401</v>
      </c>
      <c r="E4" t="s">
        <v>402</v>
      </c>
      <c r="F4" t="s">
        <v>27</v>
      </c>
      <c r="G4" t="s">
        <v>787</v>
      </c>
      <c r="H4" s="12" t="s">
        <v>825</v>
      </c>
      <c r="I4" t="s">
        <v>500</v>
      </c>
      <c r="J4" t="s">
        <v>502</v>
      </c>
      <c r="K4" t="s">
        <v>35</v>
      </c>
      <c r="M4" t="s">
        <v>435</v>
      </c>
      <c r="N4" t="s">
        <v>362</v>
      </c>
      <c r="O4" t="s">
        <v>507</v>
      </c>
      <c r="R4" t="s">
        <v>416</v>
      </c>
      <c r="S4" t="s">
        <v>440</v>
      </c>
    </row>
    <row r="5" spans="1:23" x14ac:dyDescent="0.25">
      <c r="A5">
        <v>14</v>
      </c>
      <c r="B5" t="s">
        <v>400</v>
      </c>
      <c r="C5" t="s">
        <v>313</v>
      </c>
      <c r="D5" t="s">
        <v>401</v>
      </c>
      <c r="E5" t="s">
        <v>402</v>
      </c>
      <c r="F5" t="s">
        <v>27</v>
      </c>
      <c r="G5" t="s">
        <v>787</v>
      </c>
      <c r="H5" s="12" t="s">
        <v>826</v>
      </c>
      <c r="I5" t="s">
        <v>501</v>
      </c>
      <c r="J5" t="s">
        <v>502</v>
      </c>
      <c r="K5" t="s">
        <v>505</v>
      </c>
      <c r="M5" t="s">
        <v>347</v>
      </c>
      <c r="N5" t="s">
        <v>435</v>
      </c>
      <c r="O5" t="s">
        <v>485</v>
      </c>
      <c r="R5" t="s">
        <v>416</v>
      </c>
      <c r="S5" t="s">
        <v>510</v>
      </c>
    </row>
    <row r="6" spans="1:23" x14ac:dyDescent="0.25">
      <c r="A6">
        <v>15</v>
      </c>
      <c r="B6" t="s">
        <v>542</v>
      </c>
      <c r="C6" t="s">
        <v>543</v>
      </c>
      <c r="D6" t="s">
        <v>544</v>
      </c>
      <c r="E6" t="s">
        <v>545</v>
      </c>
      <c r="F6" t="s">
        <v>27</v>
      </c>
      <c r="G6" t="s">
        <v>787</v>
      </c>
      <c r="H6" s="12" t="s">
        <v>827</v>
      </c>
      <c r="I6" t="s">
        <v>556</v>
      </c>
      <c r="R6" t="s">
        <v>557</v>
      </c>
      <c r="T6" t="s">
        <v>550</v>
      </c>
      <c r="U6" t="s">
        <v>558</v>
      </c>
    </row>
    <row r="7" spans="1:23" s="4" customFormat="1" x14ac:dyDescent="0.25"/>
    <row r="8" spans="1:23" x14ac:dyDescent="0.25">
      <c r="A8">
        <v>6</v>
      </c>
      <c r="B8" t="s">
        <v>112</v>
      </c>
      <c r="C8" t="s">
        <v>57</v>
      </c>
      <c r="D8" t="s">
        <v>113</v>
      </c>
      <c r="E8" t="s">
        <v>24</v>
      </c>
      <c r="F8" t="s">
        <v>722</v>
      </c>
      <c r="G8" t="s">
        <v>786</v>
      </c>
      <c r="H8" s="12" t="s">
        <v>847</v>
      </c>
      <c r="I8" t="s">
        <v>140</v>
      </c>
      <c r="J8" t="s">
        <v>137</v>
      </c>
      <c r="K8" t="s">
        <v>141</v>
      </c>
      <c r="L8" t="s">
        <v>142</v>
      </c>
    </row>
    <row r="9" spans="1:23" x14ac:dyDescent="0.25">
      <c r="A9">
        <v>14</v>
      </c>
      <c r="B9" t="s">
        <v>400</v>
      </c>
      <c r="C9" t="s">
        <v>313</v>
      </c>
      <c r="D9" t="s">
        <v>401</v>
      </c>
      <c r="E9" t="s">
        <v>402</v>
      </c>
      <c r="F9" t="s">
        <v>27</v>
      </c>
      <c r="G9" t="s">
        <v>786</v>
      </c>
      <c r="H9" s="12" t="s">
        <v>847</v>
      </c>
      <c r="I9" t="s">
        <v>477</v>
      </c>
      <c r="J9" t="s">
        <v>481</v>
      </c>
      <c r="K9" t="s">
        <v>482</v>
      </c>
      <c r="M9" t="s">
        <v>347</v>
      </c>
      <c r="N9" t="s">
        <v>347</v>
      </c>
      <c r="O9" t="s">
        <v>484</v>
      </c>
      <c r="R9" t="s">
        <v>448</v>
      </c>
      <c r="S9" t="s">
        <v>487</v>
      </c>
    </row>
    <row r="10" spans="1:23" x14ac:dyDescent="0.25">
      <c r="A10">
        <v>14</v>
      </c>
      <c r="B10" t="s">
        <v>400</v>
      </c>
      <c r="C10" t="s">
        <v>313</v>
      </c>
      <c r="D10" t="s">
        <v>401</v>
      </c>
      <c r="E10" t="s">
        <v>402</v>
      </c>
      <c r="F10" t="s">
        <v>27</v>
      </c>
      <c r="G10" t="s">
        <v>786</v>
      </c>
      <c r="H10" s="12" t="s">
        <v>847</v>
      </c>
      <c r="I10" t="s">
        <v>529</v>
      </c>
      <c r="J10" t="s">
        <v>531</v>
      </c>
      <c r="K10" t="s">
        <v>33</v>
      </c>
      <c r="M10" t="s">
        <v>347</v>
      </c>
      <c r="N10" t="s">
        <v>347</v>
      </c>
      <c r="O10" t="s">
        <v>533</v>
      </c>
      <c r="R10" t="s">
        <v>437</v>
      </c>
      <c r="S10" t="s">
        <v>537</v>
      </c>
    </row>
    <row r="11" spans="1:23" x14ac:dyDescent="0.25">
      <c r="A11">
        <v>19</v>
      </c>
      <c r="B11" t="s">
        <v>613</v>
      </c>
      <c r="C11" t="s">
        <v>614</v>
      </c>
      <c r="D11" t="s">
        <v>615</v>
      </c>
      <c r="E11" t="s">
        <v>616</v>
      </c>
      <c r="F11" t="s">
        <v>740</v>
      </c>
      <c r="G11" t="s">
        <v>786</v>
      </c>
      <c r="H11" s="12" t="s">
        <v>847</v>
      </c>
      <c r="I11" t="s">
        <v>621</v>
      </c>
      <c r="K11" t="s">
        <v>33</v>
      </c>
      <c r="O11" t="s">
        <v>622</v>
      </c>
      <c r="P11" t="s">
        <v>623</v>
      </c>
    </row>
    <row r="12" spans="1:23" x14ac:dyDescent="0.25">
      <c r="A12">
        <v>6</v>
      </c>
      <c r="B12" t="s">
        <v>112</v>
      </c>
      <c r="C12" t="s">
        <v>57</v>
      </c>
      <c r="D12" t="s">
        <v>113</v>
      </c>
      <c r="E12" t="s">
        <v>24</v>
      </c>
      <c r="F12" t="s">
        <v>722</v>
      </c>
      <c r="G12" t="s">
        <v>786</v>
      </c>
      <c r="H12" s="12" t="s">
        <v>846</v>
      </c>
      <c r="I12" t="s">
        <v>138</v>
      </c>
      <c r="J12" t="s">
        <v>137</v>
      </c>
      <c r="K12" t="s">
        <v>139</v>
      </c>
      <c r="L12" t="s">
        <v>123</v>
      </c>
    </row>
    <row r="13" spans="1:23" x14ac:dyDescent="0.25">
      <c r="A13">
        <v>7</v>
      </c>
      <c r="B13" t="s">
        <v>143</v>
      </c>
      <c r="C13" t="s">
        <v>57</v>
      </c>
      <c r="D13" t="s">
        <v>144</v>
      </c>
      <c r="E13" t="s">
        <v>145</v>
      </c>
      <c r="F13" t="s">
        <v>27</v>
      </c>
      <c r="G13" t="s">
        <v>786</v>
      </c>
      <c r="H13" s="12" t="s">
        <v>846</v>
      </c>
      <c r="I13" t="s">
        <v>149</v>
      </c>
      <c r="K13" t="s">
        <v>126</v>
      </c>
      <c r="M13" t="s">
        <v>151</v>
      </c>
      <c r="O13" t="s">
        <v>150</v>
      </c>
    </row>
    <row r="14" spans="1:23" x14ac:dyDescent="0.25">
      <c r="A14">
        <v>7</v>
      </c>
      <c r="B14" t="s">
        <v>143</v>
      </c>
      <c r="C14" t="s">
        <v>57</v>
      </c>
      <c r="D14" t="s">
        <v>144</v>
      </c>
      <c r="E14" t="s">
        <v>145</v>
      </c>
      <c r="F14" t="s">
        <v>27</v>
      </c>
      <c r="G14" t="s">
        <v>786</v>
      </c>
      <c r="H14" s="12" t="s">
        <v>846</v>
      </c>
      <c r="I14" t="s">
        <v>152</v>
      </c>
      <c r="K14" t="s">
        <v>126</v>
      </c>
      <c r="M14" t="s">
        <v>151</v>
      </c>
      <c r="O14" t="s">
        <v>150</v>
      </c>
    </row>
    <row r="15" spans="1:23" x14ac:dyDescent="0.25">
      <c r="A15">
        <v>13</v>
      </c>
      <c r="B15" t="s">
        <v>335</v>
      </c>
      <c r="C15" t="s">
        <v>313</v>
      </c>
      <c r="D15" t="s">
        <v>336</v>
      </c>
      <c r="E15" t="s">
        <v>59</v>
      </c>
      <c r="F15" t="s">
        <v>737</v>
      </c>
      <c r="G15" t="s">
        <v>786</v>
      </c>
      <c r="H15" s="12" t="s">
        <v>846</v>
      </c>
      <c r="I15" t="s">
        <v>794</v>
      </c>
      <c r="K15" t="s">
        <v>343</v>
      </c>
      <c r="M15" t="s">
        <v>342</v>
      </c>
    </row>
    <row r="16" spans="1:23" x14ac:dyDescent="0.25">
      <c r="A16">
        <v>13</v>
      </c>
      <c r="B16" t="s">
        <v>335</v>
      </c>
      <c r="C16" t="s">
        <v>313</v>
      </c>
      <c r="D16" t="s">
        <v>336</v>
      </c>
      <c r="E16" t="s">
        <v>59</v>
      </c>
      <c r="F16" t="s">
        <v>737</v>
      </c>
      <c r="G16" t="s">
        <v>786</v>
      </c>
      <c r="H16" s="12" t="s">
        <v>846</v>
      </c>
      <c r="I16" t="s">
        <v>794</v>
      </c>
      <c r="K16">
        <v>2</v>
      </c>
      <c r="M16" t="s">
        <v>347</v>
      </c>
    </row>
    <row r="17" spans="1:19" x14ac:dyDescent="0.25">
      <c r="A17">
        <v>13</v>
      </c>
      <c r="B17" t="s">
        <v>335</v>
      </c>
      <c r="C17" t="s">
        <v>313</v>
      </c>
      <c r="D17" t="s">
        <v>336</v>
      </c>
      <c r="E17" t="s">
        <v>59</v>
      </c>
      <c r="F17" t="s">
        <v>737</v>
      </c>
      <c r="G17" t="s">
        <v>786</v>
      </c>
      <c r="H17" s="12" t="s">
        <v>846</v>
      </c>
      <c r="I17" t="s">
        <v>794</v>
      </c>
      <c r="K17" t="s">
        <v>351</v>
      </c>
      <c r="M17" t="s">
        <v>347</v>
      </c>
    </row>
    <row r="18" spans="1:19" x14ac:dyDescent="0.25">
      <c r="A18">
        <v>13</v>
      </c>
      <c r="B18" t="s">
        <v>335</v>
      </c>
      <c r="C18" t="s">
        <v>313</v>
      </c>
      <c r="D18" t="s">
        <v>336</v>
      </c>
      <c r="E18" t="s">
        <v>59</v>
      </c>
      <c r="F18" t="s">
        <v>737</v>
      </c>
      <c r="G18" t="s">
        <v>786</v>
      </c>
      <c r="H18" s="12" t="s">
        <v>846</v>
      </c>
      <c r="I18" t="s">
        <v>356</v>
      </c>
      <c r="J18" t="s">
        <v>355</v>
      </c>
      <c r="K18" t="s">
        <v>357</v>
      </c>
      <c r="M18" t="s">
        <v>709</v>
      </c>
    </row>
    <row r="19" spans="1:19" x14ac:dyDescent="0.25">
      <c r="A19">
        <v>13</v>
      </c>
      <c r="B19" t="s">
        <v>335</v>
      </c>
      <c r="C19" t="s">
        <v>313</v>
      </c>
      <c r="D19" t="s">
        <v>336</v>
      </c>
      <c r="E19" t="s">
        <v>59</v>
      </c>
      <c r="F19" t="s">
        <v>737</v>
      </c>
      <c r="G19" t="s">
        <v>786</v>
      </c>
      <c r="H19" s="12" t="s">
        <v>846</v>
      </c>
      <c r="I19" t="s">
        <v>358</v>
      </c>
      <c r="J19" t="s">
        <v>138</v>
      </c>
      <c r="K19" t="s">
        <v>357</v>
      </c>
      <c r="M19" t="s">
        <v>359</v>
      </c>
    </row>
    <row r="20" spans="1:19" x14ac:dyDescent="0.25">
      <c r="A20">
        <v>13</v>
      </c>
      <c r="B20" t="s">
        <v>335</v>
      </c>
      <c r="C20" t="s">
        <v>313</v>
      </c>
      <c r="D20" t="s">
        <v>336</v>
      </c>
      <c r="E20" t="s">
        <v>59</v>
      </c>
      <c r="F20" t="s">
        <v>737</v>
      </c>
      <c r="G20" t="s">
        <v>786</v>
      </c>
      <c r="H20" s="12" t="s">
        <v>846</v>
      </c>
      <c r="I20" t="s">
        <v>361</v>
      </c>
      <c r="J20" t="s">
        <v>360</v>
      </c>
      <c r="K20" t="s">
        <v>357</v>
      </c>
      <c r="M20" t="s">
        <v>362</v>
      </c>
    </row>
    <row r="21" spans="1:19" x14ac:dyDescent="0.25">
      <c r="A21">
        <v>14</v>
      </c>
      <c r="B21" t="s">
        <v>400</v>
      </c>
      <c r="C21" t="s">
        <v>313</v>
      </c>
      <c r="D21" t="s">
        <v>401</v>
      </c>
      <c r="E21" t="s">
        <v>402</v>
      </c>
      <c r="F21" t="s">
        <v>27</v>
      </c>
      <c r="G21" t="s">
        <v>786</v>
      </c>
      <c r="H21" s="12" t="s">
        <v>846</v>
      </c>
      <c r="I21" t="s">
        <v>478</v>
      </c>
      <c r="J21" t="s">
        <v>481</v>
      </c>
      <c r="K21" t="s">
        <v>170</v>
      </c>
      <c r="M21" t="s">
        <v>347</v>
      </c>
      <c r="N21" t="s">
        <v>347</v>
      </c>
      <c r="O21" t="s">
        <v>457</v>
      </c>
      <c r="R21" t="s">
        <v>486</v>
      </c>
      <c r="S21" t="s">
        <v>487</v>
      </c>
    </row>
    <row r="22" spans="1:19" x14ac:dyDescent="0.25">
      <c r="A22">
        <v>14</v>
      </c>
      <c r="B22" t="s">
        <v>400</v>
      </c>
      <c r="C22" t="s">
        <v>313</v>
      </c>
      <c r="D22" t="s">
        <v>401</v>
      </c>
      <c r="E22" t="s">
        <v>402</v>
      </c>
      <c r="F22" t="s">
        <v>27</v>
      </c>
      <c r="G22" t="s">
        <v>786</v>
      </c>
      <c r="H22" s="12" t="s">
        <v>846</v>
      </c>
      <c r="I22" t="s">
        <v>479</v>
      </c>
      <c r="J22" t="s">
        <v>481</v>
      </c>
      <c r="K22" t="s">
        <v>483</v>
      </c>
      <c r="M22" t="s">
        <v>362</v>
      </c>
      <c r="N22" t="s">
        <v>362</v>
      </c>
      <c r="O22" t="s">
        <v>445</v>
      </c>
      <c r="R22" t="s">
        <v>438</v>
      </c>
      <c r="S22" t="s">
        <v>487</v>
      </c>
    </row>
    <row r="23" spans="1:19" x14ac:dyDescent="0.25">
      <c r="A23">
        <v>14</v>
      </c>
      <c r="B23" t="s">
        <v>400</v>
      </c>
      <c r="C23" t="s">
        <v>313</v>
      </c>
      <c r="D23" t="s">
        <v>401</v>
      </c>
      <c r="E23" t="s">
        <v>402</v>
      </c>
      <c r="F23" t="s">
        <v>27</v>
      </c>
      <c r="G23" t="s">
        <v>786</v>
      </c>
      <c r="H23" s="12" t="s">
        <v>846</v>
      </c>
      <c r="I23" t="s">
        <v>480</v>
      </c>
      <c r="J23" t="s">
        <v>481</v>
      </c>
      <c r="K23" t="s">
        <v>483</v>
      </c>
      <c r="M23" t="s">
        <v>435</v>
      </c>
      <c r="N23" t="s">
        <v>435</v>
      </c>
      <c r="O23" t="s">
        <v>485</v>
      </c>
      <c r="R23" t="s">
        <v>414</v>
      </c>
      <c r="S23" t="s">
        <v>487</v>
      </c>
    </row>
    <row r="24" spans="1:19" x14ac:dyDescent="0.25">
      <c r="A24">
        <v>19</v>
      </c>
      <c r="B24" t="s">
        <v>613</v>
      </c>
      <c r="C24" t="s">
        <v>614</v>
      </c>
      <c r="D24" t="s">
        <v>615</v>
      </c>
      <c r="E24" t="s">
        <v>616</v>
      </c>
      <c r="F24" t="s">
        <v>740</v>
      </c>
      <c r="G24" t="s">
        <v>786</v>
      </c>
      <c r="H24" s="12" t="s">
        <v>846</v>
      </c>
      <c r="I24" t="s">
        <v>628</v>
      </c>
      <c r="K24" t="s">
        <v>482</v>
      </c>
      <c r="O24" t="s">
        <v>629</v>
      </c>
      <c r="P24" t="s">
        <v>630</v>
      </c>
    </row>
    <row r="25" spans="1:19" x14ac:dyDescent="0.25">
      <c r="A25">
        <v>19</v>
      </c>
      <c r="B25" t="s">
        <v>613</v>
      </c>
      <c r="C25" t="s">
        <v>614</v>
      </c>
      <c r="D25" t="s">
        <v>615</v>
      </c>
      <c r="E25" t="s">
        <v>616</v>
      </c>
      <c r="F25" t="s">
        <v>740</v>
      </c>
      <c r="G25" t="s">
        <v>786</v>
      </c>
      <c r="H25" s="12" t="s">
        <v>846</v>
      </c>
      <c r="I25" t="s">
        <v>632</v>
      </c>
      <c r="K25" t="s">
        <v>33</v>
      </c>
      <c r="O25" t="s">
        <v>633</v>
      </c>
      <c r="P25" t="s">
        <v>630</v>
      </c>
    </row>
    <row r="26" spans="1:19" x14ac:dyDescent="0.25">
      <c r="A26">
        <v>14</v>
      </c>
      <c r="B26" t="s">
        <v>400</v>
      </c>
      <c r="C26" t="s">
        <v>313</v>
      </c>
      <c r="D26" t="s">
        <v>401</v>
      </c>
      <c r="E26" t="s">
        <v>402</v>
      </c>
      <c r="F26" t="s">
        <v>27</v>
      </c>
      <c r="G26" t="s">
        <v>786</v>
      </c>
      <c r="H26" s="12" t="s">
        <v>849</v>
      </c>
      <c r="I26" t="s">
        <v>520</v>
      </c>
      <c r="J26" t="s">
        <v>524</v>
      </c>
      <c r="K26" t="s">
        <v>29</v>
      </c>
      <c r="M26">
        <v>95</v>
      </c>
      <c r="N26" t="s">
        <v>387</v>
      </c>
      <c r="O26" t="s">
        <v>456</v>
      </c>
      <c r="R26" t="s">
        <v>525</v>
      </c>
      <c r="S26" t="s">
        <v>418</v>
      </c>
    </row>
    <row r="27" spans="1:19" x14ac:dyDescent="0.25">
      <c r="A27">
        <v>14</v>
      </c>
      <c r="B27" t="s">
        <v>400</v>
      </c>
      <c r="C27" t="s">
        <v>313</v>
      </c>
      <c r="D27" t="s">
        <v>401</v>
      </c>
      <c r="E27" t="s">
        <v>402</v>
      </c>
      <c r="F27" t="s">
        <v>27</v>
      </c>
      <c r="G27" t="s">
        <v>786</v>
      </c>
      <c r="H27" s="12" t="s">
        <v>849</v>
      </c>
      <c r="I27" t="s">
        <v>521</v>
      </c>
      <c r="J27" t="s">
        <v>524</v>
      </c>
      <c r="K27" t="s">
        <v>405</v>
      </c>
      <c r="M27" t="s">
        <v>387</v>
      </c>
      <c r="N27" t="s">
        <v>387</v>
      </c>
      <c r="O27" t="s">
        <v>457</v>
      </c>
      <c r="R27" t="s">
        <v>525</v>
      </c>
      <c r="S27" t="s">
        <v>418</v>
      </c>
    </row>
    <row r="28" spans="1:19" x14ac:dyDescent="0.25">
      <c r="A28">
        <v>14</v>
      </c>
      <c r="B28" t="s">
        <v>400</v>
      </c>
      <c r="C28" t="s">
        <v>313</v>
      </c>
      <c r="D28" t="s">
        <v>401</v>
      </c>
      <c r="E28" t="s">
        <v>402</v>
      </c>
      <c r="F28" t="s">
        <v>27</v>
      </c>
      <c r="G28" t="s">
        <v>786</v>
      </c>
      <c r="H28" s="12" t="s">
        <v>849</v>
      </c>
      <c r="I28" t="s">
        <v>522</v>
      </c>
      <c r="J28" t="s">
        <v>524</v>
      </c>
      <c r="K28" t="s">
        <v>405</v>
      </c>
      <c r="M28" t="s">
        <v>387</v>
      </c>
      <c r="N28" t="s">
        <v>387</v>
      </c>
      <c r="O28" t="s">
        <v>457</v>
      </c>
      <c r="R28" t="s">
        <v>525</v>
      </c>
      <c r="S28" t="s">
        <v>418</v>
      </c>
    </row>
    <row r="29" spans="1:19" x14ac:dyDescent="0.25">
      <c r="A29">
        <v>14</v>
      </c>
      <c r="B29" t="s">
        <v>400</v>
      </c>
      <c r="C29" t="s">
        <v>313</v>
      </c>
      <c r="D29" t="s">
        <v>401</v>
      </c>
      <c r="E29" t="s">
        <v>402</v>
      </c>
      <c r="F29" t="s">
        <v>27</v>
      </c>
      <c r="G29" t="s">
        <v>786</v>
      </c>
      <c r="H29" s="12" t="s">
        <v>849</v>
      </c>
      <c r="I29" t="s">
        <v>523</v>
      </c>
      <c r="J29" t="s">
        <v>524</v>
      </c>
      <c r="K29" t="s">
        <v>170</v>
      </c>
      <c r="M29" t="s">
        <v>387</v>
      </c>
      <c r="N29" t="s">
        <v>387</v>
      </c>
      <c r="O29" t="s">
        <v>457</v>
      </c>
      <c r="R29" t="s">
        <v>525</v>
      </c>
      <c r="S29" t="s">
        <v>418</v>
      </c>
    </row>
    <row r="30" spans="1:19" s="4" customFormat="1" x14ac:dyDescent="0.25"/>
    <row r="31" spans="1:19" x14ac:dyDescent="0.25">
      <c r="A31">
        <v>6</v>
      </c>
      <c r="B31" t="s">
        <v>112</v>
      </c>
      <c r="C31" t="s">
        <v>57</v>
      </c>
      <c r="D31" t="s">
        <v>113</v>
      </c>
      <c r="E31" t="s">
        <v>24</v>
      </c>
      <c r="F31" t="s">
        <v>722</v>
      </c>
      <c r="G31" t="s">
        <v>785</v>
      </c>
      <c r="H31" s="12" t="s">
        <v>860</v>
      </c>
      <c r="I31" t="s">
        <v>125</v>
      </c>
      <c r="J31" t="s">
        <v>124</v>
      </c>
      <c r="K31" t="s">
        <v>126</v>
      </c>
      <c r="L31" t="s">
        <v>123</v>
      </c>
    </row>
    <row r="32" spans="1:19" x14ac:dyDescent="0.25">
      <c r="A32">
        <v>14</v>
      </c>
      <c r="B32" t="s">
        <v>400</v>
      </c>
      <c r="C32" t="s">
        <v>313</v>
      </c>
      <c r="D32" t="s">
        <v>401</v>
      </c>
      <c r="E32" t="s">
        <v>402</v>
      </c>
      <c r="F32" t="s">
        <v>27</v>
      </c>
      <c r="G32" t="s">
        <v>785</v>
      </c>
      <c r="H32" s="12" t="s">
        <v>860</v>
      </c>
      <c r="I32" t="s">
        <v>430</v>
      </c>
      <c r="J32" t="s">
        <v>433</v>
      </c>
      <c r="K32" t="s">
        <v>33</v>
      </c>
      <c r="M32" t="s">
        <v>434</v>
      </c>
      <c r="N32" t="s">
        <v>434</v>
      </c>
      <c r="O32" t="s">
        <v>411</v>
      </c>
      <c r="R32" t="s">
        <v>437</v>
      </c>
      <c r="S32" t="s">
        <v>439</v>
      </c>
    </row>
    <row r="33" spans="1:22" x14ac:dyDescent="0.25">
      <c r="A33">
        <v>14</v>
      </c>
      <c r="B33" t="s">
        <v>400</v>
      </c>
      <c r="C33" t="s">
        <v>313</v>
      </c>
      <c r="D33" t="s">
        <v>401</v>
      </c>
      <c r="E33" t="s">
        <v>402</v>
      </c>
      <c r="F33" t="s">
        <v>27</v>
      </c>
      <c r="G33" t="s">
        <v>785</v>
      </c>
      <c r="H33" s="12" t="s">
        <v>860</v>
      </c>
      <c r="I33" t="s">
        <v>431</v>
      </c>
      <c r="J33" t="s">
        <v>433</v>
      </c>
      <c r="K33" t="s">
        <v>35</v>
      </c>
      <c r="M33" t="s">
        <v>347</v>
      </c>
      <c r="N33" t="s">
        <v>345</v>
      </c>
      <c r="O33" t="s">
        <v>436</v>
      </c>
      <c r="R33" t="s">
        <v>438</v>
      </c>
      <c r="S33" t="s">
        <v>418</v>
      </c>
    </row>
    <row r="34" spans="1:22" x14ac:dyDescent="0.25">
      <c r="A34">
        <v>14</v>
      </c>
      <c r="B34" t="s">
        <v>400</v>
      </c>
      <c r="C34" t="s">
        <v>313</v>
      </c>
      <c r="D34" t="s">
        <v>401</v>
      </c>
      <c r="E34" t="s">
        <v>402</v>
      </c>
      <c r="F34" t="s">
        <v>27</v>
      </c>
      <c r="G34" t="s">
        <v>785</v>
      </c>
      <c r="H34" s="12" t="s">
        <v>860</v>
      </c>
      <c r="I34" t="s">
        <v>432</v>
      </c>
      <c r="J34" t="s">
        <v>433</v>
      </c>
      <c r="K34" t="s">
        <v>35</v>
      </c>
      <c r="M34" t="s">
        <v>435</v>
      </c>
      <c r="N34" t="s">
        <v>387</v>
      </c>
      <c r="O34" t="s">
        <v>436</v>
      </c>
      <c r="R34" t="s">
        <v>416</v>
      </c>
      <c r="S34" t="s">
        <v>440</v>
      </c>
    </row>
    <row r="35" spans="1:22" x14ac:dyDescent="0.25">
      <c r="A35">
        <v>14</v>
      </c>
      <c r="B35" t="s">
        <v>400</v>
      </c>
      <c r="C35" t="s">
        <v>313</v>
      </c>
      <c r="D35" t="s">
        <v>401</v>
      </c>
      <c r="E35" t="s">
        <v>402</v>
      </c>
      <c r="F35" t="s">
        <v>27</v>
      </c>
      <c r="G35" t="s">
        <v>785</v>
      </c>
      <c r="H35" s="12" t="s">
        <v>859</v>
      </c>
      <c r="I35" t="s">
        <v>449</v>
      </c>
      <c r="J35" t="s">
        <v>452</v>
      </c>
      <c r="K35" t="s">
        <v>33</v>
      </c>
      <c r="M35" t="s">
        <v>453</v>
      </c>
      <c r="N35">
        <v>95</v>
      </c>
      <c r="O35" t="s">
        <v>455</v>
      </c>
      <c r="R35" t="s">
        <v>458</v>
      </c>
      <c r="S35" t="s">
        <v>460</v>
      </c>
    </row>
    <row r="36" spans="1:22" x14ac:dyDescent="0.25">
      <c r="A36">
        <v>14</v>
      </c>
      <c r="B36" t="s">
        <v>400</v>
      </c>
      <c r="C36" t="s">
        <v>313</v>
      </c>
      <c r="D36" t="s">
        <v>401</v>
      </c>
      <c r="E36" t="s">
        <v>402</v>
      </c>
      <c r="F36" t="s">
        <v>27</v>
      </c>
      <c r="G36" t="s">
        <v>785</v>
      </c>
      <c r="H36" s="12" t="s">
        <v>859</v>
      </c>
      <c r="I36" t="s">
        <v>450</v>
      </c>
      <c r="J36" t="s">
        <v>452</v>
      </c>
      <c r="K36" t="s">
        <v>35</v>
      </c>
      <c r="M36" t="s">
        <v>453</v>
      </c>
      <c r="N36">
        <v>95</v>
      </c>
      <c r="O36" t="s">
        <v>456</v>
      </c>
      <c r="R36" t="s">
        <v>458</v>
      </c>
      <c r="S36" t="s">
        <v>461</v>
      </c>
    </row>
    <row r="37" spans="1:22" x14ac:dyDescent="0.25">
      <c r="A37">
        <v>14</v>
      </c>
      <c r="B37" t="s">
        <v>400</v>
      </c>
      <c r="C37" t="s">
        <v>313</v>
      </c>
      <c r="D37" t="s">
        <v>401</v>
      </c>
      <c r="E37" t="s">
        <v>402</v>
      </c>
      <c r="F37" t="s">
        <v>27</v>
      </c>
      <c r="G37" t="s">
        <v>785</v>
      </c>
      <c r="H37" s="12" t="s">
        <v>859</v>
      </c>
      <c r="I37" t="s">
        <v>451</v>
      </c>
      <c r="J37" t="s">
        <v>452</v>
      </c>
      <c r="K37" t="s">
        <v>172</v>
      </c>
      <c r="M37" t="s">
        <v>454</v>
      </c>
      <c r="N37" t="s">
        <v>454</v>
      </c>
      <c r="O37" t="s">
        <v>457</v>
      </c>
      <c r="R37" t="s">
        <v>459</v>
      </c>
      <c r="S37" t="s">
        <v>462</v>
      </c>
    </row>
    <row r="38" spans="1:22" x14ac:dyDescent="0.25">
      <c r="A38">
        <v>4</v>
      </c>
      <c r="B38" t="s">
        <v>70</v>
      </c>
      <c r="C38" t="s">
        <v>57</v>
      </c>
      <c r="D38" t="s">
        <v>71</v>
      </c>
      <c r="E38" t="s">
        <v>24</v>
      </c>
      <c r="F38" t="s">
        <v>27</v>
      </c>
      <c r="G38" t="s">
        <v>785</v>
      </c>
      <c r="H38" s="12" t="s">
        <v>858</v>
      </c>
      <c r="I38" t="s">
        <v>95</v>
      </c>
      <c r="J38" t="s">
        <v>75</v>
      </c>
      <c r="V38" t="s">
        <v>94</v>
      </c>
    </row>
    <row r="39" spans="1:22" x14ac:dyDescent="0.25">
      <c r="A39">
        <v>14</v>
      </c>
      <c r="B39" t="s">
        <v>400</v>
      </c>
      <c r="C39" t="s">
        <v>313</v>
      </c>
      <c r="D39" t="s">
        <v>401</v>
      </c>
      <c r="E39" t="s">
        <v>402</v>
      </c>
      <c r="F39" t="s">
        <v>27</v>
      </c>
      <c r="G39" t="s">
        <v>785</v>
      </c>
      <c r="H39" s="12" t="s">
        <v>858</v>
      </c>
      <c r="I39" t="s">
        <v>513</v>
      </c>
      <c r="J39" t="s">
        <v>514</v>
      </c>
      <c r="K39" t="s">
        <v>172</v>
      </c>
      <c r="M39">
        <v>99</v>
      </c>
      <c r="N39" t="s">
        <v>347</v>
      </c>
      <c r="O39" t="s">
        <v>445</v>
      </c>
      <c r="R39" t="s">
        <v>517</v>
      </c>
      <c r="S39" t="s">
        <v>519</v>
      </c>
    </row>
    <row r="40" spans="1:22" x14ac:dyDescent="0.25">
      <c r="A40">
        <v>2</v>
      </c>
      <c r="B40" t="s">
        <v>36</v>
      </c>
      <c r="C40" t="s">
        <v>22</v>
      </c>
      <c r="D40" t="s">
        <v>37</v>
      </c>
      <c r="E40" t="s">
        <v>38</v>
      </c>
      <c r="F40" t="s">
        <v>27</v>
      </c>
      <c r="G40" t="s">
        <v>785</v>
      </c>
      <c r="H40" s="12" t="s">
        <v>858</v>
      </c>
      <c r="J40" t="s">
        <v>45</v>
      </c>
      <c r="R40" t="s">
        <v>46</v>
      </c>
    </row>
    <row r="41" spans="1:22" x14ac:dyDescent="0.25">
      <c r="A41">
        <v>4</v>
      </c>
      <c r="B41" t="s">
        <v>70</v>
      </c>
      <c r="C41" t="s">
        <v>57</v>
      </c>
      <c r="D41" t="s">
        <v>71</v>
      </c>
      <c r="E41" t="s">
        <v>24</v>
      </c>
      <c r="F41" t="s">
        <v>27</v>
      </c>
      <c r="G41" t="s">
        <v>785</v>
      </c>
      <c r="H41" s="12" t="s">
        <v>858</v>
      </c>
      <c r="I41" t="s">
        <v>78</v>
      </c>
      <c r="J41" t="s">
        <v>77</v>
      </c>
      <c r="V41" t="s">
        <v>74</v>
      </c>
    </row>
    <row r="42" spans="1:22" x14ac:dyDescent="0.25">
      <c r="A42">
        <v>4</v>
      </c>
      <c r="B42" t="s">
        <v>70</v>
      </c>
      <c r="C42" t="s">
        <v>57</v>
      </c>
      <c r="D42" t="s">
        <v>71</v>
      </c>
      <c r="E42" t="s">
        <v>24</v>
      </c>
      <c r="F42" t="s">
        <v>27</v>
      </c>
      <c r="G42" t="s">
        <v>785</v>
      </c>
      <c r="H42" s="12" t="s">
        <v>858</v>
      </c>
      <c r="I42" t="s">
        <v>93</v>
      </c>
      <c r="J42" t="s">
        <v>88</v>
      </c>
      <c r="V42" t="s">
        <v>94</v>
      </c>
    </row>
    <row r="43" spans="1:22" x14ac:dyDescent="0.25">
      <c r="A43">
        <v>18</v>
      </c>
      <c r="B43" t="s">
        <v>589</v>
      </c>
      <c r="C43" t="s">
        <v>590</v>
      </c>
      <c r="D43" t="s">
        <v>591</v>
      </c>
      <c r="E43" t="s">
        <v>592</v>
      </c>
      <c r="F43" t="s">
        <v>27</v>
      </c>
      <c r="G43" t="s">
        <v>785</v>
      </c>
      <c r="H43" s="12" t="s">
        <v>858</v>
      </c>
      <c r="I43" t="s">
        <v>587</v>
      </c>
      <c r="K43" t="s">
        <v>593</v>
      </c>
      <c r="O43" t="s">
        <v>596</v>
      </c>
      <c r="Q43" t="s">
        <v>599</v>
      </c>
      <c r="R43" t="s">
        <v>261</v>
      </c>
    </row>
    <row r="44" spans="1:22" x14ac:dyDescent="0.25">
      <c r="A44">
        <v>5</v>
      </c>
      <c r="B44" t="s">
        <v>96</v>
      </c>
      <c r="C44" t="s">
        <v>57</v>
      </c>
      <c r="D44" t="s">
        <v>97</v>
      </c>
      <c r="E44" t="s">
        <v>98</v>
      </c>
      <c r="F44" t="s">
        <v>724</v>
      </c>
      <c r="G44" t="s">
        <v>785</v>
      </c>
      <c r="H44" s="12" t="s">
        <v>858</v>
      </c>
      <c r="I44" t="s">
        <v>644</v>
      </c>
      <c r="K44" t="s">
        <v>101</v>
      </c>
      <c r="O44" t="s">
        <v>100</v>
      </c>
      <c r="V44" t="s">
        <v>102</v>
      </c>
    </row>
    <row r="45" spans="1:22" x14ac:dyDescent="0.25">
      <c r="A45">
        <v>14</v>
      </c>
      <c r="B45" t="s">
        <v>400</v>
      </c>
      <c r="C45" t="s">
        <v>313</v>
      </c>
      <c r="D45" t="s">
        <v>401</v>
      </c>
      <c r="E45" t="s">
        <v>402</v>
      </c>
      <c r="F45" t="s">
        <v>27</v>
      </c>
      <c r="G45" t="s">
        <v>785</v>
      </c>
      <c r="H45" s="12" t="s">
        <v>858</v>
      </c>
      <c r="I45" t="s">
        <v>397</v>
      </c>
      <c r="J45" t="s">
        <v>403</v>
      </c>
      <c r="K45" t="s">
        <v>33</v>
      </c>
      <c r="M45" t="s">
        <v>345</v>
      </c>
      <c r="N45" t="s">
        <v>345</v>
      </c>
      <c r="O45" t="s">
        <v>409</v>
      </c>
      <c r="R45" t="s">
        <v>414</v>
      </c>
      <c r="S45" t="s">
        <v>419</v>
      </c>
    </row>
    <row r="46" spans="1:22" x14ac:dyDescent="0.25">
      <c r="A46">
        <v>14</v>
      </c>
      <c r="B46" t="s">
        <v>400</v>
      </c>
      <c r="C46" t="s">
        <v>313</v>
      </c>
      <c r="D46" t="s">
        <v>401</v>
      </c>
      <c r="E46" t="s">
        <v>402</v>
      </c>
      <c r="F46" t="s">
        <v>27</v>
      </c>
      <c r="G46" t="s">
        <v>785</v>
      </c>
      <c r="H46" s="12" t="s">
        <v>858</v>
      </c>
      <c r="I46" t="s">
        <v>512</v>
      </c>
      <c r="J46" t="s">
        <v>514</v>
      </c>
      <c r="K46" t="s">
        <v>33</v>
      </c>
      <c r="M46" t="s">
        <v>347</v>
      </c>
      <c r="N46" t="s">
        <v>347</v>
      </c>
      <c r="O46" t="s">
        <v>515</v>
      </c>
      <c r="R46" t="s">
        <v>516</v>
      </c>
      <c r="S46" t="s">
        <v>518</v>
      </c>
    </row>
    <row r="47" spans="1:22" x14ac:dyDescent="0.25">
      <c r="A47">
        <v>4</v>
      </c>
      <c r="B47" t="s">
        <v>70</v>
      </c>
      <c r="C47" t="s">
        <v>57</v>
      </c>
      <c r="D47" t="s">
        <v>71</v>
      </c>
      <c r="E47" t="s">
        <v>24</v>
      </c>
      <c r="F47" t="s">
        <v>27</v>
      </c>
      <c r="G47" t="s">
        <v>785</v>
      </c>
      <c r="H47" s="12" t="s">
        <v>858</v>
      </c>
      <c r="I47" t="s">
        <v>76</v>
      </c>
      <c r="J47" t="s">
        <v>75</v>
      </c>
      <c r="V47" t="s">
        <v>74</v>
      </c>
    </row>
    <row r="48" spans="1:22" x14ac:dyDescent="0.25">
      <c r="A48">
        <v>4</v>
      </c>
      <c r="B48" t="s">
        <v>70</v>
      </c>
      <c r="C48" t="s">
        <v>57</v>
      </c>
      <c r="D48" t="s">
        <v>71</v>
      </c>
      <c r="E48" t="s">
        <v>24</v>
      </c>
      <c r="F48" t="s">
        <v>27</v>
      </c>
      <c r="G48" t="s">
        <v>785</v>
      </c>
      <c r="H48" s="12" t="s">
        <v>858</v>
      </c>
      <c r="I48" t="s">
        <v>82</v>
      </c>
      <c r="J48" t="s">
        <v>75</v>
      </c>
      <c r="V48" t="s">
        <v>83</v>
      </c>
    </row>
    <row r="49" spans="1:22" x14ac:dyDescent="0.25">
      <c r="A49">
        <v>14</v>
      </c>
      <c r="B49" t="s">
        <v>400</v>
      </c>
      <c r="C49" t="s">
        <v>313</v>
      </c>
      <c r="D49" t="s">
        <v>401</v>
      </c>
      <c r="E49" t="s">
        <v>402</v>
      </c>
      <c r="F49" t="s">
        <v>27</v>
      </c>
      <c r="G49" t="s">
        <v>785</v>
      </c>
      <c r="H49" s="12" t="s">
        <v>858</v>
      </c>
      <c r="I49" t="s">
        <v>511</v>
      </c>
      <c r="J49" t="s">
        <v>514</v>
      </c>
      <c r="K49" t="s">
        <v>33</v>
      </c>
      <c r="M49" t="s">
        <v>347</v>
      </c>
      <c r="N49" t="s">
        <v>347</v>
      </c>
      <c r="O49" t="s">
        <v>445</v>
      </c>
      <c r="R49" t="s">
        <v>516</v>
      </c>
      <c r="S49" t="s">
        <v>497</v>
      </c>
    </row>
    <row r="50" spans="1:22" s="4" customFormat="1" x14ac:dyDescent="0.25"/>
    <row r="51" spans="1:22" x14ac:dyDescent="0.25">
      <c r="A51">
        <v>14</v>
      </c>
      <c r="B51" t="s">
        <v>400</v>
      </c>
      <c r="C51" t="s">
        <v>313</v>
      </c>
      <c r="D51" t="s">
        <v>401</v>
      </c>
      <c r="E51" t="s">
        <v>402</v>
      </c>
      <c r="F51" t="s">
        <v>27</v>
      </c>
      <c r="G51" t="s">
        <v>744</v>
      </c>
      <c r="H51" s="12" t="s">
        <v>867</v>
      </c>
      <c r="I51" t="s">
        <v>441</v>
      </c>
      <c r="J51" t="s">
        <v>443</v>
      </c>
      <c r="K51" t="s">
        <v>33</v>
      </c>
      <c r="M51" t="s">
        <v>345</v>
      </c>
      <c r="N51" t="s">
        <v>347</v>
      </c>
      <c r="O51" t="s">
        <v>445</v>
      </c>
      <c r="R51" t="s">
        <v>448</v>
      </c>
      <c r="S51" t="s">
        <v>418</v>
      </c>
    </row>
    <row r="52" spans="1:22" x14ac:dyDescent="0.25">
      <c r="A52">
        <v>16</v>
      </c>
      <c r="B52" t="s">
        <v>570</v>
      </c>
      <c r="C52" t="s">
        <v>543</v>
      </c>
      <c r="D52" t="s">
        <v>571</v>
      </c>
      <c r="E52" t="s">
        <v>59</v>
      </c>
      <c r="F52" t="s">
        <v>27</v>
      </c>
      <c r="G52" t="s">
        <v>744</v>
      </c>
      <c r="H52" s="12" t="s">
        <v>867</v>
      </c>
      <c r="I52" t="s">
        <v>572</v>
      </c>
      <c r="K52">
        <v>250</v>
      </c>
      <c r="M52" t="s">
        <v>193</v>
      </c>
    </row>
    <row r="53" spans="1:22" x14ac:dyDescent="0.25">
      <c r="A53">
        <v>21</v>
      </c>
      <c r="B53" t="s">
        <v>652</v>
      </c>
      <c r="C53" t="s">
        <v>639</v>
      </c>
      <c r="D53" t="s">
        <v>653</v>
      </c>
      <c r="E53" t="s">
        <v>654</v>
      </c>
      <c r="F53" t="s">
        <v>742</v>
      </c>
      <c r="G53" t="s">
        <v>744</v>
      </c>
      <c r="H53" s="12" t="s">
        <v>867</v>
      </c>
      <c r="I53" t="s">
        <v>662</v>
      </c>
      <c r="K53" t="s">
        <v>661</v>
      </c>
      <c r="O53" t="s">
        <v>656</v>
      </c>
      <c r="P53" t="s">
        <v>663</v>
      </c>
      <c r="R53" t="s">
        <v>658</v>
      </c>
      <c r="T53" t="s">
        <v>320</v>
      </c>
      <c r="V53" t="s">
        <v>330</v>
      </c>
    </row>
    <row r="54" spans="1:22" x14ac:dyDescent="0.25">
      <c r="A54">
        <v>21</v>
      </c>
      <c r="B54" t="s">
        <v>652</v>
      </c>
      <c r="C54" t="s">
        <v>639</v>
      </c>
      <c r="D54" t="s">
        <v>653</v>
      </c>
      <c r="E54" t="s">
        <v>654</v>
      </c>
      <c r="F54" t="s">
        <v>742</v>
      </c>
      <c r="G54" t="s">
        <v>744</v>
      </c>
      <c r="H54" s="12" t="s">
        <v>867</v>
      </c>
      <c r="I54" t="s">
        <v>665</v>
      </c>
      <c r="K54" t="s">
        <v>661</v>
      </c>
      <c r="O54" t="s">
        <v>162</v>
      </c>
      <c r="P54" t="s">
        <v>658</v>
      </c>
      <c r="R54">
        <v>2</v>
      </c>
      <c r="T54" t="s">
        <v>330</v>
      </c>
      <c r="V54" t="s">
        <v>327</v>
      </c>
    </row>
    <row r="55" spans="1:22" x14ac:dyDescent="0.25">
      <c r="A55">
        <v>21</v>
      </c>
      <c r="B55" t="s">
        <v>652</v>
      </c>
      <c r="C55" t="s">
        <v>639</v>
      </c>
      <c r="D55" t="s">
        <v>653</v>
      </c>
      <c r="E55" t="s">
        <v>654</v>
      </c>
      <c r="F55" t="s">
        <v>742</v>
      </c>
      <c r="G55" t="s">
        <v>744</v>
      </c>
      <c r="H55" s="12" t="s">
        <v>867</v>
      </c>
      <c r="I55" t="s">
        <v>666</v>
      </c>
      <c r="K55" t="s">
        <v>661</v>
      </c>
      <c r="O55" t="s">
        <v>667</v>
      </c>
      <c r="P55" t="s">
        <v>668</v>
      </c>
      <c r="R55" t="s">
        <v>658</v>
      </c>
      <c r="T55" t="s">
        <v>320</v>
      </c>
      <c r="V55" t="s">
        <v>658</v>
      </c>
    </row>
    <row r="56" spans="1:22" x14ac:dyDescent="0.25">
      <c r="A56">
        <v>21</v>
      </c>
      <c r="B56" t="s">
        <v>652</v>
      </c>
      <c r="C56" t="s">
        <v>639</v>
      </c>
      <c r="D56" t="s">
        <v>653</v>
      </c>
      <c r="E56" t="s">
        <v>654</v>
      </c>
      <c r="F56" t="s">
        <v>742</v>
      </c>
      <c r="G56" t="s">
        <v>744</v>
      </c>
      <c r="H56" s="12" t="s">
        <v>867</v>
      </c>
      <c r="I56" t="s">
        <v>669</v>
      </c>
      <c r="K56" t="s">
        <v>64</v>
      </c>
      <c r="O56" t="s">
        <v>670</v>
      </c>
      <c r="P56" t="s">
        <v>663</v>
      </c>
      <c r="R56" t="s">
        <v>671</v>
      </c>
      <c r="T56" t="s">
        <v>330</v>
      </c>
      <c r="V56" t="s">
        <v>330</v>
      </c>
    </row>
    <row r="57" spans="1:22" x14ac:dyDescent="0.25">
      <c r="A57">
        <v>21</v>
      </c>
      <c r="B57" t="s">
        <v>652</v>
      </c>
      <c r="C57" t="s">
        <v>639</v>
      </c>
      <c r="D57" t="s">
        <v>653</v>
      </c>
      <c r="E57" t="s">
        <v>654</v>
      </c>
      <c r="F57" t="s">
        <v>742</v>
      </c>
      <c r="G57" t="s">
        <v>744</v>
      </c>
      <c r="H57" s="12" t="s">
        <v>867</v>
      </c>
      <c r="I57" t="s">
        <v>672</v>
      </c>
      <c r="K57" t="s">
        <v>64</v>
      </c>
      <c r="O57" t="s">
        <v>673</v>
      </c>
      <c r="P57" t="s">
        <v>658</v>
      </c>
      <c r="R57" t="s">
        <v>658</v>
      </c>
      <c r="T57" t="s">
        <v>320</v>
      </c>
      <c r="V57" t="s">
        <v>330</v>
      </c>
    </row>
    <row r="58" spans="1:22" x14ac:dyDescent="0.25">
      <c r="A58">
        <v>21</v>
      </c>
      <c r="B58" t="s">
        <v>652</v>
      </c>
      <c r="C58" t="s">
        <v>639</v>
      </c>
      <c r="D58" t="s">
        <v>653</v>
      </c>
      <c r="E58" t="s">
        <v>654</v>
      </c>
      <c r="F58" t="s">
        <v>742</v>
      </c>
      <c r="G58" t="s">
        <v>744</v>
      </c>
      <c r="H58" s="12" t="s">
        <v>867</v>
      </c>
      <c r="I58" t="s">
        <v>674</v>
      </c>
      <c r="K58" t="s">
        <v>64</v>
      </c>
      <c r="O58" t="s">
        <v>675</v>
      </c>
      <c r="P58" t="s">
        <v>658</v>
      </c>
      <c r="R58" t="s">
        <v>676</v>
      </c>
      <c r="T58" t="s">
        <v>330</v>
      </c>
      <c r="V58" t="s">
        <v>327</v>
      </c>
    </row>
    <row r="59" spans="1:22" x14ac:dyDescent="0.25">
      <c r="A59">
        <v>21</v>
      </c>
      <c r="B59" t="s">
        <v>652</v>
      </c>
      <c r="C59" t="s">
        <v>639</v>
      </c>
      <c r="D59" t="s">
        <v>653</v>
      </c>
      <c r="E59" t="s">
        <v>654</v>
      </c>
      <c r="F59" t="s">
        <v>742</v>
      </c>
      <c r="G59" t="s">
        <v>744</v>
      </c>
      <c r="H59" s="12" t="s">
        <v>867</v>
      </c>
      <c r="I59" t="s">
        <v>677</v>
      </c>
      <c r="K59" t="s">
        <v>661</v>
      </c>
      <c r="O59" t="s">
        <v>675</v>
      </c>
      <c r="P59" t="s">
        <v>678</v>
      </c>
      <c r="R59" t="s">
        <v>676</v>
      </c>
      <c r="T59" t="s">
        <v>330</v>
      </c>
      <c r="V59" t="s">
        <v>330</v>
      </c>
    </row>
    <row r="60" spans="1:22" x14ac:dyDescent="0.25">
      <c r="A60">
        <v>21</v>
      </c>
      <c r="B60" t="s">
        <v>652</v>
      </c>
      <c r="C60" t="s">
        <v>639</v>
      </c>
      <c r="D60" t="s">
        <v>653</v>
      </c>
      <c r="E60" t="s">
        <v>654</v>
      </c>
      <c r="F60" t="s">
        <v>742</v>
      </c>
      <c r="G60" t="s">
        <v>744</v>
      </c>
      <c r="H60" s="12" t="s">
        <v>867</v>
      </c>
      <c r="I60" t="s">
        <v>679</v>
      </c>
      <c r="K60" t="s">
        <v>64</v>
      </c>
      <c r="O60" t="s">
        <v>680</v>
      </c>
      <c r="P60" t="s">
        <v>681</v>
      </c>
      <c r="R60" t="s">
        <v>671</v>
      </c>
      <c r="T60" t="s">
        <v>320</v>
      </c>
      <c r="V60" t="s">
        <v>658</v>
      </c>
    </row>
    <row r="61" spans="1:22" x14ac:dyDescent="0.25">
      <c r="A61">
        <v>21</v>
      </c>
      <c r="B61" t="s">
        <v>652</v>
      </c>
      <c r="C61" t="s">
        <v>639</v>
      </c>
      <c r="D61" t="s">
        <v>653</v>
      </c>
      <c r="E61" t="s">
        <v>654</v>
      </c>
      <c r="F61" t="s">
        <v>742</v>
      </c>
      <c r="G61" t="s">
        <v>744</v>
      </c>
      <c r="H61" s="12" t="s">
        <v>867</v>
      </c>
      <c r="I61" t="s">
        <v>682</v>
      </c>
      <c r="K61" t="s">
        <v>64</v>
      </c>
      <c r="O61" t="s">
        <v>675</v>
      </c>
      <c r="P61" t="s">
        <v>658</v>
      </c>
      <c r="R61" t="s">
        <v>676</v>
      </c>
      <c r="T61" t="s">
        <v>320</v>
      </c>
      <c r="V61" t="s">
        <v>658</v>
      </c>
    </row>
    <row r="62" spans="1:22" x14ac:dyDescent="0.25">
      <c r="A62">
        <v>21</v>
      </c>
      <c r="B62" t="s">
        <v>652</v>
      </c>
      <c r="C62" t="s">
        <v>639</v>
      </c>
      <c r="D62" t="s">
        <v>653</v>
      </c>
      <c r="E62" t="s">
        <v>654</v>
      </c>
      <c r="F62" t="s">
        <v>742</v>
      </c>
      <c r="G62" t="s">
        <v>744</v>
      </c>
      <c r="H62" s="12" t="s">
        <v>867</v>
      </c>
      <c r="I62" t="s">
        <v>683</v>
      </c>
      <c r="K62" t="s">
        <v>661</v>
      </c>
      <c r="O62" t="s">
        <v>684</v>
      </c>
      <c r="P62" t="s">
        <v>685</v>
      </c>
      <c r="R62" t="s">
        <v>658</v>
      </c>
      <c r="T62" t="s">
        <v>320</v>
      </c>
      <c r="V62" t="s">
        <v>658</v>
      </c>
    </row>
    <row r="63" spans="1:22" x14ac:dyDescent="0.25">
      <c r="A63">
        <v>2</v>
      </c>
      <c r="B63" t="s">
        <v>36</v>
      </c>
      <c r="C63" t="s">
        <v>22</v>
      </c>
      <c r="D63" t="s">
        <v>37</v>
      </c>
      <c r="E63" t="s">
        <v>38</v>
      </c>
      <c r="F63" t="s">
        <v>27</v>
      </c>
      <c r="G63" t="s">
        <v>744</v>
      </c>
      <c r="H63" s="12" t="s">
        <v>867</v>
      </c>
      <c r="J63" t="s">
        <v>51</v>
      </c>
      <c r="R63" t="s">
        <v>52</v>
      </c>
    </row>
    <row r="64" spans="1:22" x14ac:dyDescent="0.25">
      <c r="A64">
        <v>2</v>
      </c>
      <c r="B64" t="s">
        <v>36</v>
      </c>
      <c r="C64" t="s">
        <v>22</v>
      </c>
      <c r="D64" t="s">
        <v>37</v>
      </c>
      <c r="E64" t="s">
        <v>38</v>
      </c>
      <c r="F64" t="s">
        <v>27</v>
      </c>
      <c r="G64" t="s">
        <v>744</v>
      </c>
      <c r="H64" s="12" t="s">
        <v>867</v>
      </c>
      <c r="J64" t="s">
        <v>53</v>
      </c>
      <c r="R64" t="s">
        <v>54</v>
      </c>
    </row>
    <row r="65" spans="1:22" x14ac:dyDescent="0.25">
      <c r="A65">
        <v>14</v>
      </c>
      <c r="B65" t="s">
        <v>400</v>
      </c>
      <c r="C65" t="s">
        <v>313</v>
      </c>
      <c r="D65" t="s">
        <v>401</v>
      </c>
      <c r="E65" t="s">
        <v>402</v>
      </c>
      <c r="F65" t="s">
        <v>27</v>
      </c>
      <c r="G65" t="s">
        <v>744</v>
      </c>
      <c r="H65" s="12" t="s">
        <v>867</v>
      </c>
      <c r="I65" t="s">
        <v>51</v>
      </c>
      <c r="J65" t="s">
        <v>443</v>
      </c>
      <c r="K65" t="s">
        <v>33</v>
      </c>
      <c r="M65" t="s">
        <v>387</v>
      </c>
      <c r="N65" t="s">
        <v>435</v>
      </c>
      <c r="O65" t="s">
        <v>444</v>
      </c>
      <c r="R65" t="s">
        <v>447</v>
      </c>
      <c r="S65" t="s">
        <v>418</v>
      </c>
    </row>
    <row r="66" spans="1:22" x14ac:dyDescent="0.25">
      <c r="A66">
        <v>15</v>
      </c>
      <c r="B66" t="s">
        <v>542</v>
      </c>
      <c r="C66" t="s">
        <v>543</v>
      </c>
      <c r="D66" t="s">
        <v>544</v>
      </c>
      <c r="E66" t="s">
        <v>545</v>
      </c>
      <c r="F66" t="s">
        <v>27</v>
      </c>
      <c r="G66" t="s">
        <v>744</v>
      </c>
      <c r="H66" s="12" t="s">
        <v>867</v>
      </c>
      <c r="I66" t="s">
        <v>553</v>
      </c>
      <c r="R66" t="s">
        <v>554</v>
      </c>
      <c r="T66" t="s">
        <v>320</v>
      </c>
      <c r="U66" t="s">
        <v>555</v>
      </c>
    </row>
    <row r="67" spans="1:22" x14ac:dyDescent="0.25">
      <c r="A67">
        <v>15</v>
      </c>
      <c r="B67" t="s">
        <v>542</v>
      </c>
      <c r="C67" t="s">
        <v>543</v>
      </c>
      <c r="D67" t="s">
        <v>544</v>
      </c>
      <c r="E67" t="s">
        <v>562</v>
      </c>
      <c r="F67" t="s">
        <v>738</v>
      </c>
      <c r="G67" t="s">
        <v>744</v>
      </c>
      <c r="H67" s="12" t="s">
        <v>867</v>
      </c>
      <c r="I67" t="s">
        <v>568</v>
      </c>
      <c r="K67" t="s">
        <v>168</v>
      </c>
      <c r="M67" t="s">
        <v>435</v>
      </c>
      <c r="O67" t="s">
        <v>566</v>
      </c>
    </row>
    <row r="68" spans="1:22" x14ac:dyDescent="0.25">
      <c r="A68">
        <v>21</v>
      </c>
      <c r="B68" t="s">
        <v>652</v>
      </c>
      <c r="C68" t="s">
        <v>639</v>
      </c>
      <c r="D68" t="s">
        <v>653</v>
      </c>
      <c r="E68" t="s">
        <v>654</v>
      </c>
      <c r="F68" t="s">
        <v>742</v>
      </c>
      <c r="G68" t="s">
        <v>744</v>
      </c>
      <c r="H68" s="12" t="s">
        <v>867</v>
      </c>
      <c r="I68" t="s">
        <v>655</v>
      </c>
      <c r="K68" t="s">
        <v>661</v>
      </c>
      <c r="O68" t="s">
        <v>656</v>
      </c>
      <c r="P68" t="s">
        <v>657</v>
      </c>
      <c r="R68" t="s">
        <v>658</v>
      </c>
      <c r="T68" t="s">
        <v>660</v>
      </c>
      <c r="V68" t="s">
        <v>330</v>
      </c>
    </row>
    <row r="69" spans="1:22" x14ac:dyDescent="0.25">
      <c r="A69">
        <v>6</v>
      </c>
      <c r="B69" t="s">
        <v>112</v>
      </c>
      <c r="C69" t="s">
        <v>57</v>
      </c>
      <c r="D69" t="s">
        <v>113</v>
      </c>
      <c r="E69" t="s">
        <v>24</v>
      </c>
      <c r="F69" t="s">
        <v>722</v>
      </c>
      <c r="G69" t="s">
        <v>744</v>
      </c>
      <c r="H69" s="12" t="s">
        <v>865</v>
      </c>
      <c r="I69" t="s">
        <v>115</v>
      </c>
      <c r="J69" t="s">
        <v>114</v>
      </c>
      <c r="K69" t="s">
        <v>116</v>
      </c>
      <c r="L69" t="s">
        <v>117</v>
      </c>
    </row>
    <row r="70" spans="1:22" x14ac:dyDescent="0.25">
      <c r="A70">
        <v>14</v>
      </c>
      <c r="B70" t="s">
        <v>400</v>
      </c>
      <c r="C70" t="s">
        <v>313</v>
      </c>
      <c r="D70" t="s">
        <v>401</v>
      </c>
      <c r="E70" t="s">
        <v>402</v>
      </c>
      <c r="F70" t="s">
        <v>27</v>
      </c>
      <c r="G70" t="s">
        <v>744</v>
      </c>
      <c r="H70" s="12" t="s">
        <v>865</v>
      </c>
      <c r="I70" t="s">
        <v>442</v>
      </c>
      <c r="J70" t="s">
        <v>443</v>
      </c>
      <c r="K70" t="s">
        <v>29</v>
      </c>
      <c r="M70" t="s">
        <v>407</v>
      </c>
      <c r="N70">
        <v>95</v>
      </c>
      <c r="O70" t="s">
        <v>446</v>
      </c>
      <c r="R70" t="s">
        <v>448</v>
      </c>
      <c r="S70" t="s">
        <v>418</v>
      </c>
    </row>
    <row r="71" spans="1:22" x14ac:dyDescent="0.25">
      <c r="A71">
        <v>15</v>
      </c>
      <c r="B71" t="s">
        <v>542</v>
      </c>
      <c r="C71" t="s">
        <v>543</v>
      </c>
      <c r="D71" t="s">
        <v>544</v>
      </c>
      <c r="E71" t="s">
        <v>562</v>
      </c>
      <c r="F71" t="s">
        <v>738</v>
      </c>
      <c r="G71" t="s">
        <v>744</v>
      </c>
      <c r="H71" s="12" t="s">
        <v>865</v>
      </c>
      <c r="I71" t="s">
        <v>567</v>
      </c>
      <c r="K71" t="s">
        <v>564</v>
      </c>
      <c r="M71" t="s">
        <v>347</v>
      </c>
      <c r="O71" t="s">
        <v>330</v>
      </c>
    </row>
    <row r="72" spans="1:22" x14ac:dyDescent="0.25">
      <c r="A72">
        <v>16</v>
      </c>
      <c r="B72" t="s">
        <v>570</v>
      </c>
      <c r="C72" t="s">
        <v>543</v>
      </c>
      <c r="D72" t="s">
        <v>571</v>
      </c>
      <c r="E72" t="s">
        <v>59</v>
      </c>
      <c r="F72" t="s">
        <v>27</v>
      </c>
      <c r="G72" t="s">
        <v>744</v>
      </c>
      <c r="H72" s="12" t="s">
        <v>865</v>
      </c>
      <c r="I72" t="s">
        <v>567</v>
      </c>
      <c r="K72">
        <v>10</v>
      </c>
      <c r="M72" t="s">
        <v>573</v>
      </c>
    </row>
    <row r="73" spans="1:22" s="4" customFormat="1" x14ac:dyDescent="0.25"/>
    <row r="74" spans="1:22" x14ac:dyDescent="0.25">
      <c r="A74">
        <v>5</v>
      </c>
      <c r="B74" t="s">
        <v>96</v>
      </c>
      <c r="C74" t="s">
        <v>57</v>
      </c>
      <c r="D74" t="s">
        <v>97</v>
      </c>
      <c r="E74" t="s">
        <v>98</v>
      </c>
      <c r="F74" t="s">
        <v>724</v>
      </c>
      <c r="G74" t="s">
        <v>788</v>
      </c>
      <c r="H74" s="12" t="s">
        <v>875</v>
      </c>
      <c r="I74" t="s">
        <v>110</v>
      </c>
      <c r="K74" t="s">
        <v>101</v>
      </c>
      <c r="O74" t="s">
        <v>102</v>
      </c>
      <c r="V74" t="s">
        <v>101</v>
      </c>
    </row>
    <row r="75" spans="1:22" x14ac:dyDescent="0.25">
      <c r="A75">
        <v>14</v>
      </c>
      <c r="B75" t="s">
        <v>400</v>
      </c>
      <c r="C75" t="s">
        <v>313</v>
      </c>
      <c r="D75" t="s">
        <v>401</v>
      </c>
      <c r="E75" t="s">
        <v>402</v>
      </c>
      <c r="F75" t="s">
        <v>27</v>
      </c>
      <c r="G75" t="s">
        <v>788</v>
      </c>
      <c r="H75" s="12" t="s">
        <v>875</v>
      </c>
      <c r="I75" t="s">
        <v>463</v>
      </c>
      <c r="J75" t="s">
        <v>466</v>
      </c>
      <c r="K75" t="s">
        <v>29</v>
      </c>
      <c r="M75" t="s">
        <v>387</v>
      </c>
      <c r="N75" t="s">
        <v>387</v>
      </c>
      <c r="O75" t="s">
        <v>467</v>
      </c>
      <c r="R75" t="s">
        <v>459</v>
      </c>
      <c r="S75" t="s">
        <v>468</v>
      </c>
    </row>
    <row r="76" spans="1:22" x14ac:dyDescent="0.25">
      <c r="A76">
        <v>14</v>
      </c>
      <c r="B76" t="s">
        <v>400</v>
      </c>
      <c r="C76" t="s">
        <v>313</v>
      </c>
      <c r="D76" t="s">
        <v>401</v>
      </c>
      <c r="E76" t="s">
        <v>402</v>
      </c>
      <c r="F76" t="s">
        <v>27</v>
      </c>
      <c r="G76" t="s">
        <v>788</v>
      </c>
      <c r="H76" s="12" t="s">
        <v>875</v>
      </c>
      <c r="I76" t="s">
        <v>464</v>
      </c>
      <c r="J76" t="s">
        <v>466</v>
      </c>
      <c r="K76" t="s">
        <v>29</v>
      </c>
      <c r="M76" t="s">
        <v>387</v>
      </c>
      <c r="N76" t="s">
        <v>387</v>
      </c>
      <c r="O76" t="s">
        <v>467</v>
      </c>
      <c r="R76" t="s">
        <v>459</v>
      </c>
      <c r="S76" t="s">
        <v>468</v>
      </c>
    </row>
    <row r="77" spans="1:22" x14ac:dyDescent="0.25">
      <c r="A77">
        <v>14</v>
      </c>
      <c r="B77" t="s">
        <v>400</v>
      </c>
      <c r="C77" t="s">
        <v>313</v>
      </c>
      <c r="D77" t="s">
        <v>401</v>
      </c>
      <c r="E77" t="s">
        <v>402</v>
      </c>
      <c r="F77" t="s">
        <v>27</v>
      </c>
      <c r="G77" t="s">
        <v>788</v>
      </c>
      <c r="H77" s="12" t="s">
        <v>875</v>
      </c>
      <c r="I77" t="s">
        <v>465</v>
      </c>
      <c r="J77" t="s">
        <v>466</v>
      </c>
      <c r="K77" t="s">
        <v>29</v>
      </c>
      <c r="M77" t="s">
        <v>387</v>
      </c>
      <c r="N77" t="s">
        <v>387</v>
      </c>
      <c r="O77" t="s">
        <v>467</v>
      </c>
      <c r="R77" t="s">
        <v>459</v>
      </c>
      <c r="S77" t="s">
        <v>468</v>
      </c>
    </row>
    <row r="78" spans="1:22" x14ac:dyDescent="0.25">
      <c r="A78">
        <v>13</v>
      </c>
      <c r="B78" t="s">
        <v>335</v>
      </c>
      <c r="C78" t="s">
        <v>313</v>
      </c>
      <c r="D78" t="s">
        <v>336</v>
      </c>
      <c r="E78" t="s">
        <v>59</v>
      </c>
      <c r="F78" t="s">
        <v>737</v>
      </c>
      <c r="G78" t="s">
        <v>788</v>
      </c>
      <c r="H78" s="12" t="s">
        <v>876</v>
      </c>
      <c r="I78" t="s">
        <v>358</v>
      </c>
      <c r="J78" t="s">
        <v>363</v>
      </c>
      <c r="K78">
        <v>2</v>
      </c>
      <c r="M78" t="s">
        <v>359</v>
      </c>
    </row>
    <row r="79" spans="1:22" x14ac:dyDescent="0.25">
      <c r="A79">
        <v>13</v>
      </c>
      <c r="B79" t="s">
        <v>335</v>
      </c>
      <c r="C79" t="s">
        <v>313</v>
      </c>
      <c r="D79" t="s">
        <v>336</v>
      </c>
      <c r="E79" t="s">
        <v>59</v>
      </c>
      <c r="F79" t="s">
        <v>737</v>
      </c>
      <c r="G79" t="s">
        <v>788</v>
      </c>
      <c r="H79" s="12" t="s">
        <v>876</v>
      </c>
      <c r="I79" t="s">
        <v>365</v>
      </c>
      <c r="J79" t="s">
        <v>363</v>
      </c>
      <c r="K79">
        <v>2</v>
      </c>
      <c r="M79" t="s">
        <v>362</v>
      </c>
    </row>
    <row r="80" spans="1:22" x14ac:dyDescent="0.25">
      <c r="A80">
        <v>7</v>
      </c>
      <c r="B80" t="s">
        <v>143</v>
      </c>
      <c r="C80" t="s">
        <v>57</v>
      </c>
      <c r="D80" t="s">
        <v>144</v>
      </c>
      <c r="E80" t="s">
        <v>145</v>
      </c>
      <c r="F80" t="s">
        <v>27</v>
      </c>
      <c r="G80" t="s">
        <v>788</v>
      </c>
      <c r="H80" s="12" t="s">
        <v>876</v>
      </c>
      <c r="I80" t="s">
        <v>153</v>
      </c>
      <c r="K80" t="s">
        <v>155</v>
      </c>
      <c r="M80" t="s">
        <v>30</v>
      </c>
      <c r="O80" t="s">
        <v>154</v>
      </c>
    </row>
    <row r="81" spans="1:23" x14ac:dyDescent="0.25">
      <c r="A81">
        <v>13</v>
      </c>
      <c r="B81" t="s">
        <v>335</v>
      </c>
      <c r="C81" t="s">
        <v>313</v>
      </c>
      <c r="D81" t="s">
        <v>336</v>
      </c>
      <c r="E81" t="s">
        <v>59</v>
      </c>
      <c r="F81" t="s">
        <v>737</v>
      </c>
      <c r="G81" t="s">
        <v>788</v>
      </c>
      <c r="H81" s="12" t="s">
        <v>876</v>
      </c>
      <c r="I81" t="s">
        <v>356</v>
      </c>
      <c r="K81" t="s">
        <v>241</v>
      </c>
      <c r="M81" t="s">
        <v>338</v>
      </c>
    </row>
    <row r="82" spans="1:23" x14ac:dyDescent="0.25">
      <c r="A82">
        <v>13</v>
      </c>
      <c r="B82" t="s">
        <v>335</v>
      </c>
      <c r="C82" t="s">
        <v>313</v>
      </c>
      <c r="D82" t="s">
        <v>336</v>
      </c>
      <c r="E82" t="s">
        <v>59</v>
      </c>
      <c r="F82" t="s">
        <v>737</v>
      </c>
      <c r="G82" t="s">
        <v>788</v>
      </c>
      <c r="H82" s="12" t="s">
        <v>876</v>
      </c>
      <c r="I82" t="s">
        <v>356</v>
      </c>
      <c r="K82">
        <v>2</v>
      </c>
      <c r="M82" t="s">
        <v>345</v>
      </c>
    </row>
    <row r="83" spans="1:23" x14ac:dyDescent="0.25">
      <c r="A83">
        <v>13</v>
      </c>
      <c r="B83" t="s">
        <v>335</v>
      </c>
      <c r="C83" t="s">
        <v>313</v>
      </c>
      <c r="D83" t="s">
        <v>336</v>
      </c>
      <c r="E83" t="s">
        <v>59</v>
      </c>
      <c r="F83" t="s">
        <v>737</v>
      </c>
      <c r="G83" t="s">
        <v>788</v>
      </c>
      <c r="H83" s="12" t="s">
        <v>876</v>
      </c>
      <c r="I83" t="s">
        <v>356</v>
      </c>
      <c r="K83">
        <v>1</v>
      </c>
      <c r="M83" t="s">
        <v>347</v>
      </c>
    </row>
    <row r="84" spans="1:23" x14ac:dyDescent="0.25">
      <c r="A84">
        <v>13</v>
      </c>
      <c r="B84" t="s">
        <v>335</v>
      </c>
      <c r="C84" t="s">
        <v>313</v>
      </c>
      <c r="D84" t="s">
        <v>336</v>
      </c>
      <c r="E84" t="s">
        <v>59</v>
      </c>
      <c r="F84" t="s">
        <v>737</v>
      </c>
      <c r="G84" t="s">
        <v>788</v>
      </c>
      <c r="H84" s="12" t="s">
        <v>876</v>
      </c>
      <c r="I84" t="s">
        <v>356</v>
      </c>
      <c r="J84" t="s">
        <v>363</v>
      </c>
      <c r="K84" t="s">
        <v>364</v>
      </c>
      <c r="M84" t="s">
        <v>709</v>
      </c>
    </row>
    <row r="85" spans="1:23" x14ac:dyDescent="0.25">
      <c r="A85">
        <v>13</v>
      </c>
      <c r="B85" t="s">
        <v>335</v>
      </c>
      <c r="C85" t="s">
        <v>313</v>
      </c>
      <c r="D85" t="s">
        <v>336</v>
      </c>
      <c r="E85" t="s">
        <v>59</v>
      </c>
      <c r="F85" t="s">
        <v>737</v>
      </c>
      <c r="G85" t="s">
        <v>788</v>
      </c>
      <c r="H85" s="12" t="s">
        <v>876</v>
      </c>
      <c r="I85" t="s">
        <v>356</v>
      </c>
      <c r="J85" t="s">
        <v>373</v>
      </c>
      <c r="K85" t="s">
        <v>374</v>
      </c>
      <c r="M85" t="s">
        <v>709</v>
      </c>
    </row>
    <row r="86" spans="1:23" x14ac:dyDescent="0.25">
      <c r="A86">
        <v>13</v>
      </c>
      <c r="B86" t="s">
        <v>335</v>
      </c>
      <c r="C86" t="s">
        <v>313</v>
      </c>
      <c r="D86" t="s">
        <v>336</v>
      </c>
      <c r="E86" t="s">
        <v>59</v>
      </c>
      <c r="F86" t="s">
        <v>737</v>
      </c>
      <c r="G86" t="s">
        <v>788</v>
      </c>
      <c r="H86" s="12" t="s">
        <v>876</v>
      </c>
      <c r="I86" t="s">
        <v>358</v>
      </c>
      <c r="J86" t="s">
        <v>373</v>
      </c>
      <c r="K86" t="s">
        <v>375</v>
      </c>
      <c r="M86" t="s">
        <v>359</v>
      </c>
    </row>
    <row r="87" spans="1:23" x14ac:dyDescent="0.25">
      <c r="A87">
        <v>13</v>
      </c>
      <c r="B87" t="s">
        <v>335</v>
      </c>
      <c r="C87" t="s">
        <v>313</v>
      </c>
      <c r="D87" t="s">
        <v>336</v>
      </c>
      <c r="E87" t="s">
        <v>59</v>
      </c>
      <c r="F87" t="s">
        <v>737</v>
      </c>
      <c r="G87" t="s">
        <v>788</v>
      </c>
      <c r="H87" s="12" t="s">
        <v>876</v>
      </c>
      <c r="I87" t="s">
        <v>365</v>
      </c>
      <c r="J87" t="s">
        <v>373</v>
      </c>
      <c r="K87" t="s">
        <v>371</v>
      </c>
      <c r="M87" t="s">
        <v>362</v>
      </c>
    </row>
    <row r="88" spans="1:23" x14ac:dyDescent="0.25">
      <c r="A88">
        <v>4</v>
      </c>
      <c r="B88" t="s">
        <v>70</v>
      </c>
      <c r="C88" t="s">
        <v>57</v>
      </c>
      <c r="D88" t="s">
        <v>71</v>
      </c>
      <c r="E88" t="s">
        <v>24</v>
      </c>
      <c r="F88" t="s">
        <v>27</v>
      </c>
      <c r="G88" t="s">
        <v>788</v>
      </c>
      <c r="H88" s="12" t="s">
        <v>876</v>
      </c>
      <c r="I88" t="s">
        <v>84</v>
      </c>
      <c r="J88" t="s">
        <v>72</v>
      </c>
      <c r="V88" t="s">
        <v>83</v>
      </c>
    </row>
    <row r="89" spans="1:23" x14ac:dyDescent="0.25">
      <c r="A89">
        <v>5</v>
      </c>
      <c r="B89" t="s">
        <v>96</v>
      </c>
      <c r="C89" t="s">
        <v>57</v>
      </c>
      <c r="D89" t="s">
        <v>97</v>
      </c>
      <c r="E89" t="s">
        <v>98</v>
      </c>
      <c r="F89" t="s">
        <v>724</v>
      </c>
      <c r="G89" t="s">
        <v>788</v>
      </c>
      <c r="H89" s="12" t="s">
        <v>876</v>
      </c>
      <c r="I89" t="s">
        <v>109</v>
      </c>
      <c r="K89" t="s">
        <v>102</v>
      </c>
      <c r="O89" t="s">
        <v>105</v>
      </c>
      <c r="V89" t="s">
        <v>102</v>
      </c>
    </row>
    <row r="90" spans="1:23" x14ac:dyDescent="0.25">
      <c r="A90">
        <v>5</v>
      </c>
      <c r="B90" t="s">
        <v>96</v>
      </c>
      <c r="C90" t="s">
        <v>57</v>
      </c>
      <c r="D90" t="s">
        <v>97</v>
      </c>
      <c r="E90" t="s">
        <v>98</v>
      </c>
      <c r="F90" t="s">
        <v>724</v>
      </c>
      <c r="G90" t="s">
        <v>788</v>
      </c>
      <c r="H90" s="12" t="s">
        <v>876</v>
      </c>
      <c r="I90" t="s">
        <v>111</v>
      </c>
      <c r="K90" t="s">
        <v>101</v>
      </c>
      <c r="O90" t="s">
        <v>102</v>
      </c>
      <c r="V90" t="s">
        <v>105</v>
      </c>
    </row>
    <row r="91" spans="1:23" x14ac:dyDescent="0.25">
      <c r="A91">
        <v>10</v>
      </c>
      <c r="B91" t="s">
        <v>233</v>
      </c>
      <c r="C91" t="s">
        <v>223</v>
      </c>
      <c r="D91" t="s">
        <v>234</v>
      </c>
      <c r="E91" t="s">
        <v>235</v>
      </c>
      <c r="F91" t="s">
        <v>704</v>
      </c>
      <c r="G91" t="s">
        <v>788</v>
      </c>
      <c r="H91" s="12" t="s">
        <v>876</v>
      </c>
      <c r="I91" t="s">
        <v>236</v>
      </c>
      <c r="K91" t="s">
        <v>238</v>
      </c>
      <c r="M91" t="s">
        <v>239</v>
      </c>
      <c r="O91" t="s">
        <v>237</v>
      </c>
      <c r="R91" t="s">
        <v>240</v>
      </c>
      <c r="S91" t="s">
        <v>241</v>
      </c>
    </row>
    <row r="92" spans="1:23" x14ac:dyDescent="0.25">
      <c r="A92">
        <v>14</v>
      </c>
      <c r="B92" t="s">
        <v>400</v>
      </c>
      <c r="C92" t="s">
        <v>313</v>
      </c>
      <c r="D92" t="s">
        <v>401</v>
      </c>
      <c r="E92" t="s">
        <v>402</v>
      </c>
      <c r="F92" t="s">
        <v>27</v>
      </c>
      <c r="G92" t="s">
        <v>788</v>
      </c>
      <c r="H92" s="12" t="s">
        <v>876</v>
      </c>
      <c r="I92" t="s">
        <v>138</v>
      </c>
      <c r="J92" t="s">
        <v>403</v>
      </c>
      <c r="K92" t="s">
        <v>405</v>
      </c>
      <c r="M92" t="s">
        <v>347</v>
      </c>
      <c r="N92" t="s">
        <v>347</v>
      </c>
      <c r="O92" t="s">
        <v>411</v>
      </c>
      <c r="R92" t="s">
        <v>414</v>
      </c>
      <c r="S92" t="s">
        <v>421</v>
      </c>
    </row>
    <row r="93" spans="1:23" s="14" customFormat="1" x14ac:dyDescent="0.25">
      <c r="A93">
        <v>20</v>
      </c>
      <c r="B93" t="s">
        <v>638</v>
      </c>
      <c r="C93" t="s">
        <v>639</v>
      </c>
      <c r="D93" t="s">
        <v>640</v>
      </c>
      <c r="E93" t="s">
        <v>545</v>
      </c>
      <c r="F93" t="s">
        <v>741</v>
      </c>
      <c r="G93" t="s">
        <v>788</v>
      </c>
      <c r="H93" s="12" t="s">
        <v>876</v>
      </c>
      <c r="I93" t="s">
        <v>641</v>
      </c>
      <c r="J93"/>
      <c r="K93">
        <v>50</v>
      </c>
      <c r="L93"/>
      <c r="M93" t="s">
        <v>642</v>
      </c>
      <c r="N93"/>
      <c r="O93"/>
      <c r="P93"/>
      <c r="Q93">
        <v>24</v>
      </c>
      <c r="R93"/>
      <c r="S93"/>
      <c r="T93"/>
      <c r="U93"/>
      <c r="V93"/>
      <c r="W93"/>
    </row>
    <row r="94" spans="1:23" s="14" customFormat="1" x14ac:dyDescent="0.25">
      <c r="A94">
        <v>22</v>
      </c>
      <c r="B94" t="s">
        <v>687</v>
      </c>
      <c r="C94" t="s">
        <v>688</v>
      </c>
      <c r="D94" t="s">
        <v>689</v>
      </c>
      <c r="E94" t="s">
        <v>545</v>
      </c>
      <c r="F94" t="s">
        <v>743</v>
      </c>
      <c r="G94" t="s">
        <v>788</v>
      </c>
      <c r="H94" s="12" t="s">
        <v>876</v>
      </c>
      <c r="I94" t="s">
        <v>695</v>
      </c>
      <c r="J94"/>
      <c r="K94" t="s">
        <v>172</v>
      </c>
      <c r="L94"/>
      <c r="M94" t="s">
        <v>642</v>
      </c>
      <c r="N94"/>
      <c r="O94"/>
      <c r="P94"/>
      <c r="Q94" t="s">
        <v>694</v>
      </c>
      <c r="R94"/>
      <c r="S94"/>
      <c r="T94"/>
      <c r="U94"/>
      <c r="V94"/>
      <c r="W94"/>
    </row>
    <row r="95" spans="1:23" x14ac:dyDescent="0.25">
      <c r="A95">
        <v>2</v>
      </c>
      <c r="B95" t="s">
        <v>36</v>
      </c>
      <c r="C95" t="s">
        <v>22</v>
      </c>
      <c r="D95" t="s">
        <v>37</v>
      </c>
      <c r="E95" t="s">
        <v>38</v>
      </c>
      <c r="F95" t="s">
        <v>27</v>
      </c>
      <c r="G95" t="s">
        <v>788</v>
      </c>
      <c r="H95" s="12" t="s">
        <v>873</v>
      </c>
      <c r="J95" t="s">
        <v>39</v>
      </c>
      <c r="R95" t="s">
        <v>40</v>
      </c>
    </row>
    <row r="96" spans="1:23" x14ac:dyDescent="0.25">
      <c r="A96">
        <v>6</v>
      </c>
      <c r="B96" t="s">
        <v>112</v>
      </c>
      <c r="C96" t="s">
        <v>57</v>
      </c>
      <c r="D96" t="s">
        <v>113</v>
      </c>
      <c r="E96" t="s">
        <v>24</v>
      </c>
      <c r="F96" t="s">
        <v>722</v>
      </c>
      <c r="G96" t="s">
        <v>788</v>
      </c>
      <c r="H96" s="12" t="s">
        <v>873</v>
      </c>
      <c r="I96" t="s">
        <v>119</v>
      </c>
      <c r="J96" t="s">
        <v>118</v>
      </c>
      <c r="K96" t="s">
        <v>120</v>
      </c>
      <c r="L96" t="s">
        <v>27</v>
      </c>
    </row>
    <row r="97" spans="1:19" x14ac:dyDescent="0.25">
      <c r="A97">
        <v>3</v>
      </c>
      <c r="B97" t="s">
        <v>56</v>
      </c>
      <c r="C97" t="s">
        <v>57</v>
      </c>
      <c r="D97" t="s">
        <v>58</v>
      </c>
      <c r="E97" t="s">
        <v>59</v>
      </c>
      <c r="F97" t="s">
        <v>726</v>
      </c>
      <c r="G97" t="s">
        <v>788</v>
      </c>
      <c r="H97" s="12" t="s">
        <v>873</v>
      </c>
      <c r="I97" t="s">
        <v>747</v>
      </c>
      <c r="J97" t="s">
        <v>745</v>
      </c>
      <c r="K97" t="s">
        <v>65</v>
      </c>
      <c r="L97" t="s">
        <v>27</v>
      </c>
      <c r="M97" t="s">
        <v>66</v>
      </c>
      <c r="O97" t="s">
        <v>64</v>
      </c>
      <c r="R97" t="s">
        <v>63</v>
      </c>
      <c r="S97" t="s">
        <v>728</v>
      </c>
    </row>
    <row r="98" spans="1:19" x14ac:dyDescent="0.25">
      <c r="A98">
        <v>3</v>
      </c>
      <c r="B98" t="s">
        <v>56</v>
      </c>
      <c r="C98" t="s">
        <v>57</v>
      </c>
      <c r="D98" t="s">
        <v>58</v>
      </c>
      <c r="E98" t="s">
        <v>59</v>
      </c>
      <c r="F98" t="s">
        <v>726</v>
      </c>
      <c r="G98" t="s">
        <v>788</v>
      </c>
      <c r="H98" s="12" t="s">
        <v>873</v>
      </c>
      <c r="I98" t="s">
        <v>747</v>
      </c>
      <c r="J98" t="s">
        <v>746</v>
      </c>
      <c r="K98" t="s">
        <v>68</v>
      </c>
      <c r="L98" t="s">
        <v>69</v>
      </c>
      <c r="M98" t="s">
        <v>66</v>
      </c>
      <c r="O98" t="s">
        <v>67</v>
      </c>
      <c r="R98" t="s">
        <v>63</v>
      </c>
      <c r="S98" t="s">
        <v>728</v>
      </c>
    </row>
    <row r="99" spans="1:19" x14ac:dyDescent="0.25">
      <c r="A99">
        <v>6</v>
      </c>
      <c r="B99" t="s">
        <v>112</v>
      </c>
      <c r="C99" t="s">
        <v>57</v>
      </c>
      <c r="D99" t="s">
        <v>113</v>
      </c>
      <c r="E99" t="s">
        <v>24</v>
      </c>
      <c r="F99" t="s">
        <v>722</v>
      </c>
      <c r="G99" t="s">
        <v>788</v>
      </c>
      <c r="H99" s="12" t="s">
        <v>873</v>
      </c>
      <c r="I99" t="s">
        <v>121</v>
      </c>
      <c r="J99" t="s">
        <v>118</v>
      </c>
      <c r="K99" t="s">
        <v>122</v>
      </c>
      <c r="L99" t="s">
        <v>123</v>
      </c>
    </row>
    <row r="100" spans="1:19" x14ac:dyDescent="0.25">
      <c r="A100">
        <v>8</v>
      </c>
      <c r="B100" t="s">
        <v>157</v>
      </c>
      <c r="C100" t="s">
        <v>57</v>
      </c>
      <c r="D100" t="s">
        <v>158</v>
      </c>
      <c r="E100" t="s">
        <v>159</v>
      </c>
      <c r="F100" t="s">
        <v>715</v>
      </c>
      <c r="G100" t="s">
        <v>788</v>
      </c>
      <c r="H100" s="12" t="s">
        <v>873</v>
      </c>
      <c r="I100" t="s">
        <v>169</v>
      </c>
      <c r="J100" t="s">
        <v>160</v>
      </c>
      <c r="K100" t="s">
        <v>170</v>
      </c>
      <c r="M100" t="s">
        <v>66</v>
      </c>
      <c r="O100" t="s">
        <v>165</v>
      </c>
      <c r="S100" t="s">
        <v>168</v>
      </c>
    </row>
    <row r="101" spans="1:19" x14ac:dyDescent="0.25">
      <c r="A101">
        <v>10</v>
      </c>
      <c r="B101" t="s">
        <v>233</v>
      </c>
      <c r="C101" t="s">
        <v>223</v>
      </c>
      <c r="D101" t="s">
        <v>234</v>
      </c>
      <c r="E101" t="s">
        <v>235</v>
      </c>
      <c r="F101" t="s">
        <v>704</v>
      </c>
      <c r="G101" t="s">
        <v>788</v>
      </c>
      <c r="H101" s="12" t="s">
        <v>873</v>
      </c>
      <c r="I101" t="s">
        <v>242</v>
      </c>
      <c r="K101" t="s">
        <v>244</v>
      </c>
      <c r="M101" t="s">
        <v>239</v>
      </c>
      <c r="O101" t="s">
        <v>243</v>
      </c>
      <c r="R101" t="s">
        <v>245</v>
      </c>
      <c r="S101" t="s">
        <v>246</v>
      </c>
    </row>
    <row r="102" spans="1:19" x14ac:dyDescent="0.25">
      <c r="A102">
        <v>10</v>
      </c>
      <c r="B102" t="s">
        <v>233</v>
      </c>
      <c r="C102" t="s">
        <v>223</v>
      </c>
      <c r="D102" t="s">
        <v>234</v>
      </c>
      <c r="E102" t="s">
        <v>235</v>
      </c>
      <c r="F102" t="s">
        <v>704</v>
      </c>
      <c r="G102" t="s">
        <v>788</v>
      </c>
      <c r="H102" s="12" t="s">
        <v>873</v>
      </c>
      <c r="I102" t="s">
        <v>247</v>
      </c>
      <c r="K102" t="s">
        <v>244</v>
      </c>
      <c r="M102" s="2" t="s">
        <v>249</v>
      </c>
      <c r="O102" t="s">
        <v>248</v>
      </c>
      <c r="R102" t="s">
        <v>245</v>
      </c>
      <c r="S102" t="s">
        <v>246</v>
      </c>
    </row>
    <row r="103" spans="1:19" x14ac:dyDescent="0.25">
      <c r="A103">
        <v>10</v>
      </c>
      <c r="B103" t="s">
        <v>233</v>
      </c>
      <c r="C103" t="s">
        <v>223</v>
      </c>
      <c r="D103" t="s">
        <v>234</v>
      </c>
      <c r="E103" t="s">
        <v>235</v>
      </c>
      <c r="F103" t="s">
        <v>704</v>
      </c>
      <c r="G103" t="s">
        <v>788</v>
      </c>
      <c r="H103" s="12" t="s">
        <v>873</v>
      </c>
      <c r="I103" t="s">
        <v>250</v>
      </c>
      <c r="K103" t="s">
        <v>251</v>
      </c>
      <c r="M103" s="2" t="s">
        <v>249</v>
      </c>
      <c r="O103" t="s">
        <v>248</v>
      </c>
      <c r="R103" t="s">
        <v>245</v>
      </c>
      <c r="S103" t="s">
        <v>252</v>
      </c>
    </row>
    <row r="104" spans="1:19" x14ac:dyDescent="0.25">
      <c r="A104">
        <v>10</v>
      </c>
      <c r="B104" t="s">
        <v>233</v>
      </c>
      <c r="C104" t="s">
        <v>223</v>
      </c>
      <c r="D104" t="s">
        <v>234</v>
      </c>
      <c r="E104" t="s">
        <v>59</v>
      </c>
      <c r="F104" t="s">
        <v>703</v>
      </c>
      <c r="G104" t="s">
        <v>788</v>
      </c>
      <c r="H104" s="12" t="s">
        <v>873</v>
      </c>
      <c r="I104" t="s">
        <v>262</v>
      </c>
      <c r="O104" t="s">
        <v>263</v>
      </c>
      <c r="R104" t="s">
        <v>264</v>
      </c>
    </row>
    <row r="105" spans="1:19" x14ac:dyDescent="0.25">
      <c r="A105">
        <v>10</v>
      </c>
      <c r="B105" t="s">
        <v>233</v>
      </c>
      <c r="C105" t="s">
        <v>223</v>
      </c>
      <c r="D105" t="s">
        <v>234</v>
      </c>
      <c r="E105" t="s">
        <v>59</v>
      </c>
      <c r="F105" t="s">
        <v>703</v>
      </c>
      <c r="G105" t="s">
        <v>788</v>
      </c>
      <c r="H105" s="12" t="s">
        <v>873</v>
      </c>
      <c r="I105" t="s">
        <v>265</v>
      </c>
      <c r="O105" t="s">
        <v>266</v>
      </c>
      <c r="R105" t="s">
        <v>267</v>
      </c>
    </row>
    <row r="106" spans="1:19" x14ac:dyDescent="0.25">
      <c r="A106">
        <v>10</v>
      </c>
      <c r="B106" t="s">
        <v>233</v>
      </c>
      <c r="C106" t="s">
        <v>223</v>
      </c>
      <c r="D106" t="s">
        <v>234</v>
      </c>
      <c r="E106" t="s">
        <v>59</v>
      </c>
      <c r="F106" t="s">
        <v>703</v>
      </c>
      <c r="G106" t="s">
        <v>788</v>
      </c>
      <c r="H106" s="12" t="s">
        <v>873</v>
      </c>
      <c r="I106" t="s">
        <v>270</v>
      </c>
      <c r="O106" t="s">
        <v>271</v>
      </c>
      <c r="R106" t="s">
        <v>272</v>
      </c>
    </row>
    <row r="107" spans="1:19" x14ac:dyDescent="0.25">
      <c r="A107">
        <v>10</v>
      </c>
      <c r="B107" t="s">
        <v>233</v>
      </c>
      <c r="C107" t="s">
        <v>223</v>
      </c>
      <c r="D107" t="s">
        <v>234</v>
      </c>
      <c r="E107" t="s">
        <v>59</v>
      </c>
      <c r="F107" t="s">
        <v>703</v>
      </c>
      <c r="G107" t="s">
        <v>788</v>
      </c>
      <c r="H107" s="12" t="s">
        <v>873</v>
      </c>
      <c r="I107" t="s">
        <v>276</v>
      </c>
      <c r="O107" t="s">
        <v>268</v>
      </c>
      <c r="R107" t="s">
        <v>277</v>
      </c>
    </row>
    <row r="108" spans="1:19" x14ac:dyDescent="0.25">
      <c r="A108">
        <v>17</v>
      </c>
      <c r="B108" t="s">
        <v>577</v>
      </c>
      <c r="C108" t="s">
        <v>543</v>
      </c>
      <c r="D108" t="s">
        <v>578</v>
      </c>
      <c r="E108" t="s">
        <v>545</v>
      </c>
      <c r="F108" t="s">
        <v>739</v>
      </c>
      <c r="G108" t="s">
        <v>788</v>
      </c>
      <c r="H108" s="12" t="s">
        <v>873</v>
      </c>
      <c r="I108" t="s">
        <v>583</v>
      </c>
      <c r="K108" t="s">
        <v>585</v>
      </c>
      <c r="M108" t="s">
        <v>584</v>
      </c>
      <c r="O108" t="s">
        <v>586</v>
      </c>
    </row>
    <row r="109" spans="1:19" x14ac:dyDescent="0.25">
      <c r="A109">
        <v>13</v>
      </c>
      <c r="B109" t="s">
        <v>335</v>
      </c>
      <c r="C109" t="s">
        <v>313</v>
      </c>
      <c r="D109" t="s">
        <v>336</v>
      </c>
      <c r="E109" t="s">
        <v>59</v>
      </c>
      <c r="F109" t="s">
        <v>737</v>
      </c>
      <c r="G109" t="s">
        <v>788</v>
      </c>
      <c r="H109" s="12" t="s">
        <v>873</v>
      </c>
      <c r="I109" t="s">
        <v>341</v>
      </c>
      <c r="K109" t="s">
        <v>340</v>
      </c>
      <c r="M109" t="s">
        <v>338</v>
      </c>
    </row>
    <row r="110" spans="1:19" x14ac:dyDescent="0.25">
      <c r="A110">
        <v>7</v>
      </c>
      <c r="B110" t="s">
        <v>143</v>
      </c>
      <c r="C110" t="s">
        <v>57</v>
      </c>
      <c r="D110" t="s">
        <v>144</v>
      </c>
      <c r="E110" t="s">
        <v>145</v>
      </c>
      <c r="F110" t="s">
        <v>27</v>
      </c>
      <c r="G110" t="s">
        <v>788</v>
      </c>
      <c r="H110" s="12" t="s">
        <v>873</v>
      </c>
      <c r="I110" t="s">
        <v>156</v>
      </c>
      <c r="K110" t="s">
        <v>155</v>
      </c>
      <c r="M110" t="s">
        <v>148</v>
      </c>
      <c r="O110" t="s">
        <v>147</v>
      </c>
    </row>
    <row r="111" spans="1:19" s="23" customFormat="1" x14ac:dyDescent="0.25">
      <c r="A111" s="23">
        <v>1</v>
      </c>
      <c r="B111" s="23" t="s">
        <v>21</v>
      </c>
      <c r="C111" s="23" t="s">
        <v>22</v>
      </c>
      <c r="D111" s="23" t="s">
        <v>23</v>
      </c>
      <c r="E111" s="23" t="s">
        <v>24</v>
      </c>
      <c r="F111" s="23" t="s">
        <v>27</v>
      </c>
      <c r="G111" s="23" t="s">
        <v>788</v>
      </c>
      <c r="H111" s="12" t="s">
        <v>874</v>
      </c>
      <c r="I111" s="23" t="s">
        <v>877</v>
      </c>
      <c r="K111" s="23" t="s">
        <v>35</v>
      </c>
      <c r="M111" s="23" t="s">
        <v>30</v>
      </c>
      <c r="O111" s="23" t="s">
        <v>28</v>
      </c>
      <c r="Q111" s="23" t="s">
        <v>26</v>
      </c>
    </row>
    <row r="112" spans="1:19" x14ac:dyDescent="0.25">
      <c r="A112">
        <v>3</v>
      </c>
      <c r="B112" t="s">
        <v>56</v>
      </c>
      <c r="C112" t="s">
        <v>57</v>
      </c>
      <c r="D112" t="s">
        <v>58</v>
      </c>
      <c r="E112" t="s">
        <v>59</v>
      </c>
      <c r="F112" t="s">
        <v>726</v>
      </c>
      <c r="G112" t="s">
        <v>788</v>
      </c>
      <c r="H112" s="12" t="s">
        <v>874</v>
      </c>
      <c r="I112" t="s">
        <v>579</v>
      </c>
      <c r="J112" t="s">
        <v>745</v>
      </c>
      <c r="K112" t="s">
        <v>61</v>
      </c>
      <c r="L112" t="s">
        <v>27</v>
      </c>
      <c r="M112" t="s">
        <v>62</v>
      </c>
      <c r="O112" t="s">
        <v>60</v>
      </c>
      <c r="R112" t="s">
        <v>63</v>
      </c>
      <c r="S112" t="s">
        <v>727</v>
      </c>
    </row>
    <row r="113" spans="1:22" x14ac:dyDescent="0.25">
      <c r="A113">
        <v>4</v>
      </c>
      <c r="B113" t="s">
        <v>70</v>
      </c>
      <c r="C113" t="s">
        <v>57</v>
      </c>
      <c r="D113" t="s">
        <v>71</v>
      </c>
      <c r="E113" t="s">
        <v>24</v>
      </c>
      <c r="F113" t="s">
        <v>27</v>
      </c>
      <c r="G113" t="s">
        <v>788</v>
      </c>
      <c r="H113" s="12" t="s">
        <v>874</v>
      </c>
      <c r="I113" t="s">
        <v>85</v>
      </c>
      <c r="J113" t="s">
        <v>77</v>
      </c>
      <c r="V113" t="s">
        <v>83</v>
      </c>
    </row>
    <row r="114" spans="1:22" x14ac:dyDescent="0.25">
      <c r="A114">
        <v>4</v>
      </c>
      <c r="B114" t="s">
        <v>70</v>
      </c>
      <c r="C114" t="s">
        <v>57</v>
      </c>
      <c r="D114" t="s">
        <v>71</v>
      </c>
      <c r="E114" t="s">
        <v>24</v>
      </c>
      <c r="F114" t="s">
        <v>27</v>
      </c>
      <c r="G114" t="s">
        <v>788</v>
      </c>
      <c r="H114" s="12" t="s">
        <v>874</v>
      </c>
      <c r="I114" t="s">
        <v>90</v>
      </c>
      <c r="J114" t="s">
        <v>77</v>
      </c>
      <c r="V114" t="s">
        <v>87</v>
      </c>
    </row>
    <row r="115" spans="1:22" x14ac:dyDescent="0.25">
      <c r="A115">
        <v>5</v>
      </c>
      <c r="B115" t="s">
        <v>96</v>
      </c>
      <c r="C115" t="s">
        <v>57</v>
      </c>
      <c r="D115" t="s">
        <v>97</v>
      </c>
      <c r="E115" t="s">
        <v>98</v>
      </c>
      <c r="F115" t="s">
        <v>724</v>
      </c>
      <c r="G115" t="s">
        <v>788</v>
      </c>
      <c r="H115" s="12" t="s">
        <v>874</v>
      </c>
      <c r="I115" t="s">
        <v>107</v>
      </c>
      <c r="K115" t="s">
        <v>105</v>
      </c>
      <c r="O115" t="s">
        <v>102</v>
      </c>
      <c r="V115" t="s">
        <v>105</v>
      </c>
    </row>
    <row r="116" spans="1:22" x14ac:dyDescent="0.25">
      <c r="A116">
        <v>8</v>
      </c>
      <c r="B116" t="s">
        <v>157</v>
      </c>
      <c r="C116" t="s">
        <v>57</v>
      </c>
      <c r="D116" t="s">
        <v>158</v>
      </c>
      <c r="E116" t="s">
        <v>159</v>
      </c>
      <c r="F116" t="s">
        <v>715</v>
      </c>
      <c r="G116" t="s">
        <v>788</v>
      </c>
      <c r="H116" s="12" t="s">
        <v>874</v>
      </c>
      <c r="I116" t="s">
        <v>171</v>
      </c>
      <c r="J116" t="s">
        <v>160</v>
      </c>
      <c r="K116" t="s">
        <v>172</v>
      </c>
      <c r="M116" t="s">
        <v>173</v>
      </c>
      <c r="O116" t="s">
        <v>162</v>
      </c>
      <c r="S116" t="s">
        <v>168</v>
      </c>
    </row>
    <row r="117" spans="1:22" x14ac:dyDescent="0.25">
      <c r="A117">
        <v>8</v>
      </c>
      <c r="B117" t="s">
        <v>157</v>
      </c>
      <c r="C117" t="s">
        <v>57</v>
      </c>
      <c r="D117" t="s">
        <v>158</v>
      </c>
      <c r="E117" t="s">
        <v>159</v>
      </c>
      <c r="F117" t="s">
        <v>715</v>
      </c>
      <c r="G117" t="s">
        <v>788</v>
      </c>
      <c r="H117" s="12" t="s">
        <v>874</v>
      </c>
      <c r="I117" t="s">
        <v>175</v>
      </c>
      <c r="J117" t="s">
        <v>160</v>
      </c>
      <c r="K117" t="s">
        <v>176</v>
      </c>
      <c r="M117" t="s">
        <v>66</v>
      </c>
      <c r="O117" t="s">
        <v>165</v>
      </c>
      <c r="S117">
        <v>14</v>
      </c>
    </row>
    <row r="118" spans="1:22" x14ac:dyDescent="0.25">
      <c r="A118">
        <v>10</v>
      </c>
      <c r="B118" t="s">
        <v>233</v>
      </c>
      <c r="C118" t="s">
        <v>223</v>
      </c>
      <c r="D118" t="s">
        <v>234</v>
      </c>
      <c r="E118" t="s">
        <v>235</v>
      </c>
      <c r="F118" t="s">
        <v>704</v>
      </c>
      <c r="G118" t="s">
        <v>788</v>
      </c>
      <c r="H118" s="12" t="s">
        <v>874</v>
      </c>
      <c r="I118" t="s">
        <v>253</v>
      </c>
      <c r="K118" t="s">
        <v>251</v>
      </c>
      <c r="M118" s="2" t="s">
        <v>249</v>
      </c>
      <c r="O118" t="s">
        <v>248</v>
      </c>
      <c r="R118" t="s">
        <v>245</v>
      </c>
      <c r="S118" t="s">
        <v>246</v>
      </c>
    </row>
    <row r="119" spans="1:22" x14ac:dyDescent="0.25">
      <c r="A119">
        <v>10</v>
      </c>
      <c r="B119" t="s">
        <v>233</v>
      </c>
      <c r="C119" t="s">
        <v>223</v>
      </c>
      <c r="D119" t="s">
        <v>234</v>
      </c>
      <c r="E119" t="s">
        <v>235</v>
      </c>
      <c r="F119" t="s">
        <v>704</v>
      </c>
      <c r="G119" t="s">
        <v>788</v>
      </c>
      <c r="H119" s="12" t="s">
        <v>874</v>
      </c>
      <c r="I119" t="s">
        <v>254</v>
      </c>
      <c r="K119" t="s">
        <v>255</v>
      </c>
      <c r="M119" s="2">
        <v>0.98</v>
      </c>
      <c r="O119" t="s">
        <v>243</v>
      </c>
      <c r="R119" t="s">
        <v>240</v>
      </c>
      <c r="S119">
        <v>50</v>
      </c>
    </row>
    <row r="120" spans="1:22" x14ac:dyDescent="0.25">
      <c r="A120">
        <v>10</v>
      </c>
      <c r="B120" t="s">
        <v>233</v>
      </c>
      <c r="C120" t="s">
        <v>223</v>
      </c>
      <c r="D120" t="s">
        <v>234</v>
      </c>
      <c r="E120" t="s">
        <v>59</v>
      </c>
      <c r="F120" t="s">
        <v>703</v>
      </c>
      <c r="G120" t="s">
        <v>788</v>
      </c>
      <c r="H120" s="12" t="s">
        <v>874</v>
      </c>
      <c r="I120" t="s">
        <v>259</v>
      </c>
      <c r="O120" t="s">
        <v>260</v>
      </c>
      <c r="R120" t="s">
        <v>261</v>
      </c>
    </row>
    <row r="121" spans="1:22" x14ac:dyDescent="0.25">
      <c r="A121">
        <v>14</v>
      </c>
      <c r="B121" t="s">
        <v>400</v>
      </c>
      <c r="C121" t="s">
        <v>313</v>
      </c>
      <c r="D121" t="s">
        <v>401</v>
      </c>
      <c r="E121" t="s">
        <v>402</v>
      </c>
      <c r="F121" t="s">
        <v>27</v>
      </c>
      <c r="G121" t="s">
        <v>788</v>
      </c>
      <c r="H121" s="12" t="s">
        <v>874</v>
      </c>
      <c r="I121" t="s">
        <v>398</v>
      </c>
      <c r="J121" t="s">
        <v>403</v>
      </c>
      <c r="K121" t="s">
        <v>33</v>
      </c>
      <c r="M121" t="s">
        <v>362</v>
      </c>
      <c r="N121" t="s">
        <v>362</v>
      </c>
      <c r="O121" t="s">
        <v>410</v>
      </c>
      <c r="R121" t="s">
        <v>415</v>
      </c>
      <c r="S121" t="s">
        <v>420</v>
      </c>
    </row>
    <row r="122" spans="1:22" x14ac:dyDescent="0.25">
      <c r="A122">
        <v>14</v>
      </c>
      <c r="B122" t="s">
        <v>400</v>
      </c>
      <c r="C122" t="s">
        <v>313</v>
      </c>
      <c r="D122" t="s">
        <v>401</v>
      </c>
      <c r="E122" t="s">
        <v>402</v>
      </c>
      <c r="F122" t="s">
        <v>27</v>
      </c>
      <c r="G122" t="s">
        <v>788</v>
      </c>
      <c r="H122" s="12" t="s">
        <v>874</v>
      </c>
      <c r="I122" t="s">
        <v>399</v>
      </c>
      <c r="J122" t="s">
        <v>403</v>
      </c>
      <c r="K122" t="s">
        <v>35</v>
      </c>
      <c r="M122" t="s">
        <v>347</v>
      </c>
      <c r="N122" t="s">
        <v>347</v>
      </c>
      <c r="O122" t="s">
        <v>411</v>
      </c>
      <c r="R122" t="s">
        <v>416</v>
      </c>
      <c r="S122" t="s">
        <v>421</v>
      </c>
    </row>
    <row r="123" spans="1:22" x14ac:dyDescent="0.25">
      <c r="A123">
        <v>17</v>
      </c>
      <c r="B123" t="s">
        <v>577</v>
      </c>
      <c r="C123" t="s">
        <v>543</v>
      </c>
      <c r="D123" t="s">
        <v>578</v>
      </c>
      <c r="E123" t="s">
        <v>545</v>
      </c>
      <c r="F123" t="s">
        <v>739</v>
      </c>
      <c r="G123" t="s">
        <v>788</v>
      </c>
      <c r="H123" s="12" t="s">
        <v>874</v>
      </c>
      <c r="I123" t="s">
        <v>579</v>
      </c>
      <c r="K123" t="s">
        <v>581</v>
      </c>
      <c r="M123" t="s">
        <v>580</v>
      </c>
      <c r="O123" t="s">
        <v>582</v>
      </c>
    </row>
    <row r="124" spans="1:22" x14ac:dyDescent="0.25">
      <c r="A124">
        <v>20</v>
      </c>
      <c r="B124" t="s">
        <v>638</v>
      </c>
      <c r="C124" t="s">
        <v>639</v>
      </c>
      <c r="D124" t="s">
        <v>640</v>
      </c>
      <c r="E124" t="s">
        <v>545</v>
      </c>
      <c r="F124" t="s">
        <v>741</v>
      </c>
      <c r="G124" t="s">
        <v>788</v>
      </c>
      <c r="H124" s="12" t="s">
        <v>874</v>
      </c>
      <c r="I124" t="s">
        <v>643</v>
      </c>
      <c r="K124">
        <v>100</v>
      </c>
      <c r="M124" t="s">
        <v>642</v>
      </c>
      <c r="Q124">
        <v>512</v>
      </c>
    </row>
    <row r="125" spans="1:22" x14ac:dyDescent="0.25">
      <c r="A125">
        <v>22</v>
      </c>
      <c r="B125" t="s">
        <v>687</v>
      </c>
      <c r="C125" t="s">
        <v>688</v>
      </c>
      <c r="D125" t="s">
        <v>689</v>
      </c>
      <c r="E125" t="s">
        <v>545</v>
      </c>
      <c r="F125" t="s">
        <v>743</v>
      </c>
      <c r="G125" t="s">
        <v>788</v>
      </c>
      <c r="H125" s="12" t="s">
        <v>874</v>
      </c>
      <c r="I125" t="s">
        <v>698</v>
      </c>
      <c r="K125" t="s">
        <v>35</v>
      </c>
      <c r="M125" t="s">
        <v>642</v>
      </c>
      <c r="Q125" t="s">
        <v>697</v>
      </c>
    </row>
    <row r="126" spans="1:22" s="23" customFormat="1" x14ac:dyDescent="0.25">
      <c r="A126" s="23">
        <v>1</v>
      </c>
      <c r="B126" s="23" t="s">
        <v>21</v>
      </c>
      <c r="C126" s="23" t="s">
        <v>22</v>
      </c>
      <c r="D126" s="23" t="s">
        <v>23</v>
      </c>
      <c r="E126" s="23" t="s">
        <v>24</v>
      </c>
      <c r="F126" s="23" t="s">
        <v>27</v>
      </c>
      <c r="G126" s="23" t="s">
        <v>788</v>
      </c>
      <c r="H126" s="12" t="s">
        <v>872</v>
      </c>
      <c r="I126" s="23" t="s">
        <v>878</v>
      </c>
      <c r="K126" s="23" t="s">
        <v>35</v>
      </c>
      <c r="M126" s="23" t="s">
        <v>30</v>
      </c>
      <c r="O126" s="23" t="s">
        <v>28</v>
      </c>
      <c r="Q126" s="23" t="s">
        <v>26</v>
      </c>
    </row>
    <row r="127" spans="1:22" x14ac:dyDescent="0.25">
      <c r="A127">
        <v>1</v>
      </c>
      <c r="B127" t="s">
        <v>21</v>
      </c>
      <c r="C127" t="s">
        <v>22</v>
      </c>
      <c r="D127" t="s">
        <v>23</v>
      </c>
      <c r="E127" t="s">
        <v>24</v>
      </c>
      <c r="F127" t="s">
        <v>27</v>
      </c>
      <c r="G127" t="s">
        <v>788</v>
      </c>
      <c r="H127" s="12" t="s">
        <v>872</v>
      </c>
      <c r="I127" t="s">
        <v>25</v>
      </c>
      <c r="K127" t="s">
        <v>29</v>
      </c>
      <c r="M127" t="s">
        <v>30</v>
      </c>
      <c r="O127" t="s">
        <v>28</v>
      </c>
      <c r="Q127" t="s">
        <v>26</v>
      </c>
    </row>
    <row r="128" spans="1:22" x14ac:dyDescent="0.25">
      <c r="A128">
        <v>1</v>
      </c>
      <c r="B128" t="s">
        <v>21</v>
      </c>
      <c r="C128" t="s">
        <v>22</v>
      </c>
      <c r="D128" t="s">
        <v>23</v>
      </c>
      <c r="E128" t="s">
        <v>24</v>
      </c>
      <c r="F128" t="s">
        <v>27</v>
      </c>
      <c r="G128" t="s">
        <v>788</v>
      </c>
      <c r="H128" s="12" t="s">
        <v>872</v>
      </c>
      <c r="I128" t="s">
        <v>733</v>
      </c>
      <c r="K128" t="s">
        <v>31</v>
      </c>
      <c r="M128" t="s">
        <v>30</v>
      </c>
      <c r="O128" t="s">
        <v>28</v>
      </c>
      <c r="Q128" t="s">
        <v>26</v>
      </c>
    </row>
    <row r="129" spans="1:22" x14ac:dyDescent="0.25">
      <c r="A129">
        <v>1</v>
      </c>
      <c r="B129" t="s">
        <v>21</v>
      </c>
      <c r="C129" t="s">
        <v>22</v>
      </c>
      <c r="D129" t="s">
        <v>23</v>
      </c>
      <c r="E129" t="s">
        <v>24</v>
      </c>
      <c r="F129" t="s">
        <v>27</v>
      </c>
      <c r="G129" t="s">
        <v>788</v>
      </c>
      <c r="H129" s="12" t="s">
        <v>872</v>
      </c>
      <c r="I129" t="s">
        <v>32</v>
      </c>
      <c r="K129" t="s">
        <v>33</v>
      </c>
      <c r="M129" t="s">
        <v>30</v>
      </c>
      <c r="O129" t="s">
        <v>28</v>
      </c>
      <c r="Q129" t="s">
        <v>26</v>
      </c>
    </row>
    <row r="130" spans="1:22" x14ac:dyDescent="0.25">
      <c r="A130">
        <v>4</v>
      </c>
      <c r="B130" t="s">
        <v>70</v>
      </c>
      <c r="C130" t="s">
        <v>57</v>
      </c>
      <c r="D130" t="s">
        <v>71</v>
      </c>
      <c r="E130" t="s">
        <v>24</v>
      </c>
      <c r="F130" t="s">
        <v>27</v>
      </c>
      <c r="G130" t="s">
        <v>788</v>
      </c>
      <c r="H130" s="12" t="s">
        <v>872</v>
      </c>
      <c r="I130" t="s">
        <v>73</v>
      </c>
      <c r="J130" t="s">
        <v>72</v>
      </c>
      <c r="V130" t="s">
        <v>74</v>
      </c>
    </row>
    <row r="131" spans="1:22" x14ac:dyDescent="0.25">
      <c r="A131">
        <v>4</v>
      </c>
      <c r="B131" t="s">
        <v>70</v>
      </c>
      <c r="C131" t="s">
        <v>57</v>
      </c>
      <c r="D131" t="s">
        <v>71</v>
      </c>
      <c r="E131" t="s">
        <v>24</v>
      </c>
      <c r="F131" t="s">
        <v>27</v>
      </c>
      <c r="G131" t="s">
        <v>788</v>
      </c>
      <c r="H131" s="12" t="s">
        <v>872</v>
      </c>
      <c r="I131" t="s">
        <v>81</v>
      </c>
      <c r="J131" t="s">
        <v>77</v>
      </c>
      <c r="V131" t="s">
        <v>80</v>
      </c>
    </row>
    <row r="132" spans="1:22" x14ac:dyDescent="0.25">
      <c r="A132">
        <v>5</v>
      </c>
      <c r="B132" t="s">
        <v>96</v>
      </c>
      <c r="C132" t="s">
        <v>57</v>
      </c>
      <c r="D132" t="s">
        <v>97</v>
      </c>
      <c r="E132" t="s">
        <v>98</v>
      </c>
      <c r="F132" t="s">
        <v>724</v>
      </c>
      <c r="G132" t="s">
        <v>788</v>
      </c>
      <c r="H132" s="12" t="s">
        <v>872</v>
      </c>
      <c r="I132" t="s">
        <v>104</v>
      </c>
      <c r="K132" t="s">
        <v>102</v>
      </c>
      <c r="O132" t="s">
        <v>105</v>
      </c>
      <c r="V132" t="s">
        <v>102</v>
      </c>
    </row>
    <row r="133" spans="1:22" x14ac:dyDescent="0.25">
      <c r="A133">
        <v>8</v>
      </c>
      <c r="B133" t="s">
        <v>157</v>
      </c>
      <c r="C133" t="s">
        <v>57</v>
      </c>
      <c r="D133" t="s">
        <v>158</v>
      </c>
      <c r="E133" t="s">
        <v>159</v>
      </c>
      <c r="F133" t="s">
        <v>715</v>
      </c>
      <c r="G133" t="s">
        <v>788</v>
      </c>
      <c r="H133" s="12" t="s">
        <v>872</v>
      </c>
      <c r="I133" t="s">
        <v>161</v>
      </c>
      <c r="J133" t="s">
        <v>160</v>
      </c>
      <c r="K133" t="s">
        <v>163</v>
      </c>
      <c r="M133" t="s">
        <v>66</v>
      </c>
      <c r="O133" t="s">
        <v>162</v>
      </c>
      <c r="S133">
        <v>10</v>
      </c>
    </row>
    <row r="134" spans="1:22" x14ac:dyDescent="0.25">
      <c r="A134">
        <v>8</v>
      </c>
      <c r="B134" t="s">
        <v>157</v>
      </c>
      <c r="C134" t="s">
        <v>57</v>
      </c>
      <c r="D134" t="s">
        <v>158</v>
      </c>
      <c r="E134" t="s">
        <v>159</v>
      </c>
      <c r="F134" t="s">
        <v>715</v>
      </c>
      <c r="G134" t="s">
        <v>788</v>
      </c>
      <c r="H134" s="12" t="s">
        <v>872</v>
      </c>
      <c r="I134" t="s">
        <v>164</v>
      </c>
      <c r="J134" t="s">
        <v>160</v>
      </c>
      <c r="K134" t="s">
        <v>29</v>
      </c>
      <c r="M134" t="s">
        <v>66</v>
      </c>
      <c r="O134" t="s">
        <v>165</v>
      </c>
      <c r="S134">
        <v>10</v>
      </c>
    </row>
    <row r="135" spans="1:22" x14ac:dyDescent="0.25">
      <c r="A135">
        <v>8</v>
      </c>
      <c r="B135" t="s">
        <v>157</v>
      </c>
      <c r="C135" t="s">
        <v>57</v>
      </c>
      <c r="D135" t="s">
        <v>158</v>
      </c>
      <c r="E135" t="s">
        <v>159</v>
      </c>
      <c r="F135" t="s">
        <v>715</v>
      </c>
      <c r="G135" t="s">
        <v>788</v>
      </c>
      <c r="H135" s="12" t="s">
        <v>872</v>
      </c>
      <c r="I135" t="s">
        <v>166</v>
      </c>
      <c r="J135" t="s">
        <v>160</v>
      </c>
      <c r="K135" t="s">
        <v>167</v>
      </c>
      <c r="M135" t="s">
        <v>66</v>
      </c>
      <c r="O135" t="s">
        <v>165</v>
      </c>
      <c r="S135" t="s">
        <v>168</v>
      </c>
    </row>
    <row r="136" spans="1:22" x14ac:dyDescent="0.25">
      <c r="A136">
        <v>8</v>
      </c>
      <c r="B136" t="s">
        <v>157</v>
      </c>
      <c r="C136" t="s">
        <v>57</v>
      </c>
      <c r="D136" t="s">
        <v>158</v>
      </c>
      <c r="E136" t="s">
        <v>159</v>
      </c>
      <c r="F136" t="s">
        <v>715</v>
      </c>
      <c r="G136" t="s">
        <v>788</v>
      </c>
      <c r="H136" s="12" t="s">
        <v>872</v>
      </c>
      <c r="I136" t="s">
        <v>174</v>
      </c>
      <c r="J136" t="s">
        <v>160</v>
      </c>
      <c r="K136" t="s">
        <v>172</v>
      </c>
      <c r="M136" t="s">
        <v>173</v>
      </c>
      <c r="O136" t="s">
        <v>165</v>
      </c>
      <c r="S136" t="s">
        <v>168</v>
      </c>
    </row>
    <row r="137" spans="1:22" x14ac:dyDescent="0.25">
      <c r="A137">
        <v>8</v>
      </c>
      <c r="B137" t="s">
        <v>157</v>
      </c>
      <c r="C137" t="s">
        <v>57</v>
      </c>
      <c r="D137" t="s">
        <v>158</v>
      </c>
      <c r="E137" t="s">
        <v>159</v>
      </c>
      <c r="F137" t="s">
        <v>715</v>
      </c>
      <c r="G137" t="s">
        <v>788</v>
      </c>
      <c r="H137" s="12" t="s">
        <v>872</v>
      </c>
      <c r="I137" t="s">
        <v>25</v>
      </c>
      <c r="J137" t="s">
        <v>160</v>
      </c>
      <c r="K137" t="s">
        <v>29</v>
      </c>
      <c r="M137" t="s">
        <v>66</v>
      </c>
      <c r="O137" t="s">
        <v>165</v>
      </c>
      <c r="S137">
        <v>14</v>
      </c>
    </row>
    <row r="138" spans="1:22" x14ac:dyDescent="0.25">
      <c r="A138">
        <v>8</v>
      </c>
      <c r="B138" t="s">
        <v>157</v>
      </c>
      <c r="C138" t="s">
        <v>57</v>
      </c>
      <c r="D138" t="s">
        <v>158</v>
      </c>
      <c r="E138" t="s">
        <v>159</v>
      </c>
      <c r="F138" t="s">
        <v>715</v>
      </c>
      <c r="G138" t="s">
        <v>788</v>
      </c>
      <c r="H138" s="12" t="s">
        <v>872</v>
      </c>
      <c r="I138" t="s">
        <v>177</v>
      </c>
      <c r="J138" t="s">
        <v>160</v>
      </c>
      <c r="K138" t="s">
        <v>178</v>
      </c>
      <c r="M138" t="s">
        <v>66</v>
      </c>
      <c r="O138" t="s">
        <v>165</v>
      </c>
      <c r="S138">
        <v>10</v>
      </c>
    </row>
    <row r="139" spans="1:22" x14ac:dyDescent="0.25">
      <c r="A139">
        <v>8</v>
      </c>
      <c r="B139" t="s">
        <v>157</v>
      </c>
      <c r="C139" t="s">
        <v>57</v>
      </c>
      <c r="D139" t="s">
        <v>158</v>
      </c>
      <c r="E139" t="s">
        <v>159</v>
      </c>
      <c r="F139" t="s">
        <v>715</v>
      </c>
      <c r="G139" t="s">
        <v>788</v>
      </c>
      <c r="H139" s="12" t="s">
        <v>872</v>
      </c>
      <c r="I139" t="s">
        <v>179</v>
      </c>
      <c r="J139" t="s">
        <v>160</v>
      </c>
      <c r="K139" t="s">
        <v>178</v>
      </c>
      <c r="M139" t="s">
        <v>66</v>
      </c>
      <c r="O139" t="s">
        <v>162</v>
      </c>
      <c r="S139">
        <v>10</v>
      </c>
    </row>
    <row r="140" spans="1:22" x14ac:dyDescent="0.25">
      <c r="A140">
        <v>8</v>
      </c>
      <c r="B140" t="s">
        <v>157</v>
      </c>
      <c r="C140" t="s">
        <v>57</v>
      </c>
      <c r="D140" t="s">
        <v>158</v>
      </c>
      <c r="E140" t="s">
        <v>159</v>
      </c>
      <c r="F140" t="s">
        <v>715</v>
      </c>
      <c r="G140" t="s">
        <v>788</v>
      </c>
      <c r="H140" s="12" t="s">
        <v>872</v>
      </c>
      <c r="I140" t="s">
        <v>180</v>
      </c>
      <c r="J140" t="s">
        <v>160</v>
      </c>
      <c r="K140" t="s">
        <v>181</v>
      </c>
      <c r="M140" t="s">
        <v>66</v>
      </c>
      <c r="O140" t="s">
        <v>165</v>
      </c>
      <c r="S140">
        <v>10</v>
      </c>
    </row>
    <row r="141" spans="1:22" x14ac:dyDescent="0.25">
      <c r="A141">
        <v>9</v>
      </c>
      <c r="B141" t="s">
        <v>222</v>
      </c>
      <c r="C141" t="s">
        <v>223</v>
      </c>
      <c r="D141" t="s">
        <v>224</v>
      </c>
      <c r="E141" t="s">
        <v>59</v>
      </c>
      <c r="F141" t="s">
        <v>27</v>
      </c>
      <c r="G141" t="s">
        <v>788</v>
      </c>
      <c r="H141" s="12" t="s">
        <v>872</v>
      </c>
      <c r="I141" t="s">
        <v>225</v>
      </c>
      <c r="K141" t="s">
        <v>167</v>
      </c>
      <c r="M141" t="s">
        <v>226</v>
      </c>
      <c r="O141" t="s">
        <v>167</v>
      </c>
      <c r="Q141" t="s">
        <v>26</v>
      </c>
      <c r="S141" t="s">
        <v>227</v>
      </c>
    </row>
    <row r="142" spans="1:22" x14ac:dyDescent="0.25">
      <c r="A142">
        <v>9</v>
      </c>
      <c r="B142" t="s">
        <v>222</v>
      </c>
      <c r="C142" t="s">
        <v>223</v>
      </c>
      <c r="D142" t="s">
        <v>224</v>
      </c>
      <c r="E142" t="s">
        <v>59</v>
      </c>
      <c r="F142" t="s">
        <v>27</v>
      </c>
      <c r="G142" t="s">
        <v>788</v>
      </c>
      <c r="H142" s="12" t="s">
        <v>872</v>
      </c>
      <c r="I142" t="s">
        <v>225</v>
      </c>
      <c r="K142" t="s">
        <v>29</v>
      </c>
      <c r="M142" t="s">
        <v>229</v>
      </c>
      <c r="O142" t="s">
        <v>29</v>
      </c>
      <c r="Q142" t="s">
        <v>228</v>
      </c>
      <c r="S142" t="s">
        <v>230</v>
      </c>
    </row>
    <row r="143" spans="1:22" x14ac:dyDescent="0.25">
      <c r="A143">
        <v>9</v>
      </c>
      <c r="B143" t="s">
        <v>222</v>
      </c>
      <c r="C143" t="s">
        <v>223</v>
      </c>
      <c r="D143" t="s">
        <v>224</v>
      </c>
      <c r="E143" t="s">
        <v>59</v>
      </c>
      <c r="F143" t="s">
        <v>27</v>
      </c>
      <c r="G143" t="s">
        <v>788</v>
      </c>
      <c r="H143" s="12" t="s">
        <v>872</v>
      </c>
      <c r="I143" t="s">
        <v>225</v>
      </c>
      <c r="K143" t="s">
        <v>163</v>
      </c>
      <c r="M143" t="s">
        <v>229</v>
      </c>
      <c r="O143" t="s">
        <v>163</v>
      </c>
      <c r="Q143" t="s">
        <v>231</v>
      </c>
      <c r="S143" t="s">
        <v>232</v>
      </c>
    </row>
    <row r="144" spans="1:22" x14ac:dyDescent="0.25">
      <c r="A144">
        <v>13</v>
      </c>
      <c r="B144" t="s">
        <v>335</v>
      </c>
      <c r="C144" t="s">
        <v>313</v>
      </c>
      <c r="D144" t="s">
        <v>336</v>
      </c>
      <c r="E144" t="s">
        <v>337</v>
      </c>
      <c r="F144" t="s">
        <v>27</v>
      </c>
      <c r="G144" t="s">
        <v>788</v>
      </c>
      <c r="H144" s="12" t="s">
        <v>872</v>
      </c>
      <c r="I144" t="s">
        <v>386</v>
      </c>
      <c r="K144" t="s">
        <v>163</v>
      </c>
      <c r="M144" t="s">
        <v>387</v>
      </c>
      <c r="O144" t="s">
        <v>389</v>
      </c>
      <c r="Q144" t="s">
        <v>388</v>
      </c>
    </row>
    <row r="145" spans="1:22" x14ac:dyDescent="0.25">
      <c r="A145">
        <v>14</v>
      </c>
      <c r="B145" t="s">
        <v>400</v>
      </c>
      <c r="C145" t="s">
        <v>313</v>
      </c>
      <c r="D145" t="s">
        <v>401</v>
      </c>
      <c r="E145" t="s">
        <v>402</v>
      </c>
      <c r="F145" t="s">
        <v>27</v>
      </c>
      <c r="G145" t="s">
        <v>788</v>
      </c>
      <c r="H145" s="12" t="s">
        <v>872</v>
      </c>
      <c r="I145" t="s">
        <v>32</v>
      </c>
      <c r="J145" t="s">
        <v>403</v>
      </c>
      <c r="K145" t="s">
        <v>29</v>
      </c>
      <c r="M145" t="s">
        <v>407</v>
      </c>
      <c r="N145" t="s">
        <v>407</v>
      </c>
      <c r="O145" t="s">
        <v>409</v>
      </c>
      <c r="R145" t="s">
        <v>413</v>
      </c>
      <c r="S145" t="s">
        <v>418</v>
      </c>
    </row>
    <row r="146" spans="1:22" x14ac:dyDescent="0.25">
      <c r="A146">
        <v>15</v>
      </c>
      <c r="B146" t="s">
        <v>542</v>
      </c>
      <c r="C146" t="s">
        <v>543</v>
      </c>
      <c r="D146" t="s">
        <v>544</v>
      </c>
      <c r="E146" t="s">
        <v>562</v>
      </c>
      <c r="F146" t="s">
        <v>738</v>
      </c>
      <c r="G146" t="s">
        <v>788</v>
      </c>
      <c r="H146" s="12" t="s">
        <v>872</v>
      </c>
      <c r="I146" t="s">
        <v>177</v>
      </c>
      <c r="K146" t="s">
        <v>565</v>
      </c>
      <c r="M146" t="s">
        <v>347</v>
      </c>
      <c r="O146" t="s">
        <v>566</v>
      </c>
    </row>
    <row r="147" spans="1:22" x14ac:dyDescent="0.25">
      <c r="A147">
        <v>20</v>
      </c>
      <c r="B147" t="s">
        <v>638</v>
      </c>
      <c r="C147" t="s">
        <v>639</v>
      </c>
      <c r="D147" t="s">
        <v>640</v>
      </c>
      <c r="E147" t="s">
        <v>545</v>
      </c>
      <c r="F147" t="s">
        <v>741</v>
      </c>
      <c r="G147" t="s">
        <v>788</v>
      </c>
      <c r="H147" s="12" t="s">
        <v>872</v>
      </c>
      <c r="I147" t="s">
        <v>644</v>
      </c>
      <c r="K147">
        <v>500</v>
      </c>
      <c r="M147" s="3" t="s">
        <v>710</v>
      </c>
      <c r="Q147">
        <v>250</v>
      </c>
    </row>
    <row r="148" spans="1:22" x14ac:dyDescent="0.25">
      <c r="A148">
        <v>22</v>
      </c>
      <c r="B148" t="s">
        <v>687</v>
      </c>
      <c r="C148" t="s">
        <v>688</v>
      </c>
      <c r="D148" t="s">
        <v>689</v>
      </c>
      <c r="E148" t="s">
        <v>545</v>
      </c>
      <c r="F148" t="s">
        <v>743</v>
      </c>
      <c r="G148" t="s">
        <v>788</v>
      </c>
      <c r="H148" s="12" t="s">
        <v>872</v>
      </c>
      <c r="I148" t="s">
        <v>701</v>
      </c>
      <c r="K148" t="s">
        <v>474</v>
      </c>
      <c r="M148" t="s">
        <v>645</v>
      </c>
      <c r="Q148" t="s">
        <v>700</v>
      </c>
    </row>
    <row r="149" spans="1:22" s="23" customFormat="1" x14ac:dyDescent="0.25">
      <c r="A149" s="23">
        <v>19</v>
      </c>
      <c r="B149" s="23" t="s">
        <v>613</v>
      </c>
      <c r="C149" s="23" t="s">
        <v>614</v>
      </c>
      <c r="D149" s="23" t="s">
        <v>615</v>
      </c>
      <c r="E149" s="23" t="s">
        <v>616</v>
      </c>
      <c r="F149" s="23" t="s">
        <v>740</v>
      </c>
      <c r="G149" s="23" t="s">
        <v>788</v>
      </c>
      <c r="H149" s="26" t="s">
        <v>872</v>
      </c>
      <c r="I149" s="23" t="s">
        <v>625</v>
      </c>
      <c r="J149" s="23" t="s">
        <v>879</v>
      </c>
      <c r="K149" s="23" t="s">
        <v>1068</v>
      </c>
      <c r="O149" s="23" t="s">
        <v>626</v>
      </c>
    </row>
    <row r="150" spans="1:22" x14ac:dyDescent="0.25">
      <c r="A150" s="6">
        <v>13</v>
      </c>
      <c r="B150" s="6" t="s">
        <v>335</v>
      </c>
      <c r="C150" s="6" t="s">
        <v>313</v>
      </c>
      <c r="D150" s="6" t="s">
        <v>336</v>
      </c>
      <c r="E150" s="6" t="s">
        <v>59</v>
      </c>
      <c r="F150" s="6" t="s">
        <v>737</v>
      </c>
      <c r="G150" s="6" t="s">
        <v>788</v>
      </c>
      <c r="H150" s="6"/>
      <c r="I150" s="6" t="s">
        <v>363</v>
      </c>
      <c r="J150" s="6"/>
      <c r="K150" s="6" t="s">
        <v>241</v>
      </c>
      <c r="L150" s="6"/>
      <c r="M150" s="6" t="s">
        <v>338</v>
      </c>
      <c r="N150" s="6"/>
      <c r="O150" s="6"/>
      <c r="P150" s="6"/>
      <c r="Q150" s="6"/>
      <c r="R150" s="6"/>
      <c r="S150" s="6"/>
      <c r="T150" s="6"/>
      <c r="U150" s="6"/>
      <c r="V150" s="6"/>
    </row>
    <row r="151" spans="1:22" s="4" customFormat="1" x14ac:dyDescent="0.25"/>
    <row r="152" spans="1:22" x14ac:dyDescent="0.25">
      <c r="A152">
        <v>8</v>
      </c>
      <c r="B152" t="s">
        <v>157</v>
      </c>
      <c r="C152" t="s">
        <v>57</v>
      </c>
      <c r="D152" t="s">
        <v>158</v>
      </c>
      <c r="E152" t="s">
        <v>159</v>
      </c>
      <c r="F152" t="s">
        <v>715</v>
      </c>
      <c r="G152" t="s">
        <v>789</v>
      </c>
      <c r="H152" s="12" t="s">
        <v>890</v>
      </c>
      <c r="I152" t="s">
        <v>210</v>
      </c>
      <c r="J152" t="s">
        <v>200</v>
      </c>
      <c r="K152" t="s">
        <v>212</v>
      </c>
      <c r="M152" t="s">
        <v>204</v>
      </c>
      <c r="O152" t="s">
        <v>211</v>
      </c>
      <c r="R152">
        <v>60</v>
      </c>
    </row>
    <row r="153" spans="1:22" s="14" customFormat="1" x14ac:dyDescent="0.25">
      <c r="A153">
        <v>14</v>
      </c>
      <c r="B153" t="s">
        <v>400</v>
      </c>
      <c r="C153" t="s">
        <v>313</v>
      </c>
      <c r="D153" t="s">
        <v>401</v>
      </c>
      <c r="E153" t="s">
        <v>402</v>
      </c>
      <c r="F153" t="s">
        <v>27</v>
      </c>
      <c r="G153" t="s">
        <v>789</v>
      </c>
      <c r="H153" s="12" t="s">
        <v>890</v>
      </c>
      <c r="I153" t="s">
        <v>469</v>
      </c>
      <c r="J153" t="s">
        <v>472</v>
      </c>
      <c r="K153" t="s">
        <v>473</v>
      </c>
      <c r="L153"/>
      <c r="M153" t="s">
        <v>347</v>
      </c>
      <c r="N153" t="s">
        <v>387</v>
      </c>
      <c r="O153" t="s">
        <v>445</v>
      </c>
      <c r="P153"/>
      <c r="Q153"/>
      <c r="R153" t="s">
        <v>476</v>
      </c>
      <c r="S153" t="s">
        <v>440</v>
      </c>
      <c r="T153"/>
      <c r="U153"/>
      <c r="V153"/>
    </row>
    <row r="154" spans="1:22" s="14" customFormat="1" x14ac:dyDescent="0.25">
      <c r="A154">
        <v>14</v>
      </c>
      <c r="B154" t="s">
        <v>400</v>
      </c>
      <c r="C154" t="s">
        <v>313</v>
      </c>
      <c r="D154" t="s">
        <v>401</v>
      </c>
      <c r="E154" t="s">
        <v>402</v>
      </c>
      <c r="F154" t="s">
        <v>27</v>
      </c>
      <c r="G154" t="s">
        <v>789</v>
      </c>
      <c r="H154" s="12" t="s">
        <v>890</v>
      </c>
      <c r="I154" t="s">
        <v>470</v>
      </c>
      <c r="J154" t="s">
        <v>472</v>
      </c>
      <c r="K154" t="s">
        <v>474</v>
      </c>
      <c r="L154"/>
      <c r="M154" t="s">
        <v>347</v>
      </c>
      <c r="N154" t="s">
        <v>387</v>
      </c>
      <c r="O154" t="s">
        <v>456</v>
      </c>
      <c r="P154"/>
      <c r="Q154"/>
      <c r="R154" t="s">
        <v>416</v>
      </c>
      <c r="S154" t="s">
        <v>418</v>
      </c>
      <c r="T154"/>
      <c r="U154"/>
      <c r="V154"/>
    </row>
    <row r="155" spans="1:22" x14ac:dyDescent="0.25">
      <c r="A155">
        <v>14</v>
      </c>
      <c r="B155" t="s">
        <v>400</v>
      </c>
      <c r="C155" t="s">
        <v>313</v>
      </c>
      <c r="D155" t="s">
        <v>401</v>
      </c>
      <c r="E155" t="s">
        <v>402</v>
      </c>
      <c r="F155" t="s">
        <v>27</v>
      </c>
      <c r="G155" t="s">
        <v>789</v>
      </c>
      <c r="H155" s="12" t="s">
        <v>890</v>
      </c>
      <c r="I155" t="s">
        <v>471</v>
      </c>
      <c r="J155" t="s">
        <v>472</v>
      </c>
      <c r="K155" t="s">
        <v>475</v>
      </c>
      <c r="M155" t="s">
        <v>347</v>
      </c>
      <c r="N155" t="s">
        <v>387</v>
      </c>
      <c r="O155" t="s">
        <v>411</v>
      </c>
      <c r="R155" t="s">
        <v>448</v>
      </c>
      <c r="S155" t="s">
        <v>420</v>
      </c>
    </row>
    <row r="156" spans="1:22" x14ac:dyDescent="0.25">
      <c r="A156">
        <v>14</v>
      </c>
      <c r="B156" t="s">
        <v>400</v>
      </c>
      <c r="C156" t="s">
        <v>313</v>
      </c>
      <c r="D156" t="s">
        <v>401</v>
      </c>
      <c r="E156" t="s">
        <v>402</v>
      </c>
      <c r="F156" t="s">
        <v>27</v>
      </c>
      <c r="G156" t="s">
        <v>789</v>
      </c>
      <c r="H156" s="12" t="s">
        <v>891</v>
      </c>
      <c r="I156" t="s">
        <v>528</v>
      </c>
      <c r="J156" t="s">
        <v>531</v>
      </c>
      <c r="K156" t="s">
        <v>163</v>
      </c>
      <c r="M156" t="s">
        <v>362</v>
      </c>
      <c r="N156" t="s">
        <v>362</v>
      </c>
      <c r="O156" t="s">
        <v>445</v>
      </c>
      <c r="R156" t="s">
        <v>476</v>
      </c>
      <c r="S156" t="s">
        <v>536</v>
      </c>
    </row>
    <row r="157" spans="1:22" x14ac:dyDescent="0.25">
      <c r="A157">
        <v>14</v>
      </c>
      <c r="B157" t="s">
        <v>400</v>
      </c>
      <c r="C157" t="s">
        <v>313</v>
      </c>
      <c r="D157" t="s">
        <v>401</v>
      </c>
      <c r="E157" t="s">
        <v>402</v>
      </c>
      <c r="F157" t="s">
        <v>27</v>
      </c>
      <c r="G157" t="s">
        <v>789</v>
      </c>
      <c r="H157" s="12" t="s">
        <v>891</v>
      </c>
      <c r="I157" t="s">
        <v>529</v>
      </c>
      <c r="J157" t="s">
        <v>531</v>
      </c>
      <c r="K157" t="s">
        <v>33</v>
      </c>
      <c r="M157" t="s">
        <v>347</v>
      </c>
      <c r="N157" t="s">
        <v>347</v>
      </c>
      <c r="O157" t="s">
        <v>533</v>
      </c>
      <c r="R157" t="s">
        <v>437</v>
      </c>
      <c r="S157" t="s">
        <v>537</v>
      </c>
    </row>
    <row r="158" spans="1:22" x14ac:dyDescent="0.25">
      <c r="A158">
        <v>14</v>
      </c>
      <c r="B158" t="s">
        <v>400</v>
      </c>
      <c r="C158" t="s">
        <v>313</v>
      </c>
      <c r="D158" t="s">
        <v>401</v>
      </c>
      <c r="E158" t="s">
        <v>402</v>
      </c>
      <c r="F158" t="s">
        <v>27</v>
      </c>
      <c r="G158" t="s">
        <v>789</v>
      </c>
      <c r="H158" s="12" t="s">
        <v>891</v>
      </c>
      <c r="I158" t="s">
        <v>526</v>
      </c>
      <c r="J158" t="s">
        <v>531</v>
      </c>
      <c r="K158" t="s">
        <v>170</v>
      </c>
      <c r="M158" t="s">
        <v>387</v>
      </c>
      <c r="N158" t="s">
        <v>387</v>
      </c>
      <c r="O158" t="s">
        <v>532</v>
      </c>
      <c r="R158" t="s">
        <v>415</v>
      </c>
      <c r="S158" t="s">
        <v>535</v>
      </c>
    </row>
    <row r="159" spans="1:22" x14ac:dyDescent="0.25">
      <c r="A159">
        <v>13</v>
      </c>
      <c r="B159" t="s">
        <v>335</v>
      </c>
      <c r="C159" t="s">
        <v>313</v>
      </c>
      <c r="D159" t="s">
        <v>336</v>
      </c>
      <c r="E159" t="s">
        <v>337</v>
      </c>
      <c r="F159" t="s">
        <v>27</v>
      </c>
      <c r="G159" t="s">
        <v>789</v>
      </c>
      <c r="H159" s="12" t="s">
        <v>891</v>
      </c>
      <c r="I159" t="s">
        <v>384</v>
      </c>
      <c r="K159" t="s">
        <v>29</v>
      </c>
      <c r="M159" t="s">
        <v>347</v>
      </c>
      <c r="O159" t="s">
        <v>383</v>
      </c>
      <c r="Q159" t="s">
        <v>385</v>
      </c>
    </row>
    <row r="160" spans="1:22" x14ac:dyDescent="0.25">
      <c r="A160">
        <v>14</v>
      </c>
      <c r="B160" t="s">
        <v>400</v>
      </c>
      <c r="C160" t="s">
        <v>313</v>
      </c>
      <c r="D160" t="s">
        <v>401</v>
      </c>
      <c r="E160" t="s">
        <v>402</v>
      </c>
      <c r="F160" t="s">
        <v>27</v>
      </c>
      <c r="G160" t="s">
        <v>789</v>
      </c>
      <c r="H160" s="12" t="s">
        <v>891</v>
      </c>
      <c r="I160" t="s">
        <v>489</v>
      </c>
      <c r="J160" t="s">
        <v>491</v>
      </c>
      <c r="K160" t="s">
        <v>33</v>
      </c>
      <c r="M160" t="s">
        <v>347</v>
      </c>
      <c r="N160" t="s">
        <v>347</v>
      </c>
      <c r="O160" t="s">
        <v>456</v>
      </c>
      <c r="R160" t="s">
        <v>493</v>
      </c>
      <c r="S160" t="s">
        <v>496</v>
      </c>
    </row>
    <row r="161" spans="1:22" x14ac:dyDescent="0.25">
      <c r="A161">
        <v>14</v>
      </c>
      <c r="B161" t="s">
        <v>400</v>
      </c>
      <c r="C161" t="s">
        <v>313</v>
      </c>
      <c r="D161" t="s">
        <v>401</v>
      </c>
      <c r="E161" t="s">
        <v>402</v>
      </c>
      <c r="F161" t="s">
        <v>27</v>
      </c>
      <c r="G161" t="s">
        <v>789</v>
      </c>
      <c r="H161" s="12" t="s">
        <v>891</v>
      </c>
      <c r="I161" t="s">
        <v>490</v>
      </c>
      <c r="J161" t="s">
        <v>491</v>
      </c>
      <c r="K161" t="s">
        <v>27</v>
      </c>
      <c r="M161" t="s">
        <v>362</v>
      </c>
      <c r="N161" t="s">
        <v>362</v>
      </c>
      <c r="O161" t="s">
        <v>445</v>
      </c>
      <c r="R161" t="s">
        <v>494</v>
      </c>
      <c r="S161" t="s">
        <v>497</v>
      </c>
    </row>
    <row r="162" spans="1:22" x14ac:dyDescent="0.25">
      <c r="A162">
        <v>14</v>
      </c>
      <c r="B162" t="s">
        <v>400</v>
      </c>
      <c r="C162" t="s">
        <v>313</v>
      </c>
      <c r="D162" t="s">
        <v>401</v>
      </c>
      <c r="E162" t="s">
        <v>402</v>
      </c>
      <c r="F162" t="s">
        <v>27</v>
      </c>
      <c r="G162" t="s">
        <v>789</v>
      </c>
      <c r="H162" s="12" t="s">
        <v>891</v>
      </c>
      <c r="I162" t="s">
        <v>527</v>
      </c>
      <c r="J162" t="s">
        <v>531</v>
      </c>
      <c r="K162" t="s">
        <v>33</v>
      </c>
      <c r="M162" t="s">
        <v>347</v>
      </c>
      <c r="N162" t="s">
        <v>347</v>
      </c>
      <c r="O162" t="s">
        <v>445</v>
      </c>
      <c r="R162" t="s">
        <v>438</v>
      </c>
      <c r="S162" t="s">
        <v>519</v>
      </c>
    </row>
    <row r="163" spans="1:22" x14ac:dyDescent="0.25">
      <c r="A163">
        <v>14</v>
      </c>
      <c r="B163" t="s">
        <v>400</v>
      </c>
      <c r="C163" t="s">
        <v>313</v>
      </c>
      <c r="D163" t="s">
        <v>401</v>
      </c>
      <c r="E163" t="s">
        <v>402</v>
      </c>
      <c r="F163" t="s">
        <v>27</v>
      </c>
      <c r="G163" t="s">
        <v>789</v>
      </c>
      <c r="H163" s="12" t="s">
        <v>891</v>
      </c>
      <c r="I163" t="s">
        <v>530</v>
      </c>
      <c r="J163" t="s">
        <v>531</v>
      </c>
      <c r="K163" t="s">
        <v>35</v>
      </c>
      <c r="M163">
        <v>99</v>
      </c>
      <c r="N163" t="s">
        <v>347</v>
      </c>
      <c r="O163" t="s">
        <v>436</v>
      </c>
      <c r="R163" t="s">
        <v>534</v>
      </c>
      <c r="S163" t="s">
        <v>440</v>
      </c>
    </row>
    <row r="164" spans="1:22" x14ac:dyDescent="0.25">
      <c r="A164">
        <v>4</v>
      </c>
      <c r="B164" t="s">
        <v>70</v>
      </c>
      <c r="C164" t="s">
        <v>57</v>
      </c>
      <c r="D164" t="s">
        <v>71</v>
      </c>
      <c r="E164" t="s">
        <v>24</v>
      </c>
      <c r="F164" t="s">
        <v>27</v>
      </c>
      <c r="G164" t="s">
        <v>789</v>
      </c>
      <c r="H164" s="12" t="s">
        <v>891</v>
      </c>
      <c r="I164" t="s">
        <v>86</v>
      </c>
      <c r="J164" t="s">
        <v>72</v>
      </c>
      <c r="V164" t="s">
        <v>87</v>
      </c>
    </row>
    <row r="165" spans="1:22" x14ac:dyDescent="0.25">
      <c r="A165">
        <v>2</v>
      </c>
      <c r="B165" t="s">
        <v>36</v>
      </c>
      <c r="C165" t="s">
        <v>22</v>
      </c>
      <c r="D165" t="s">
        <v>37</v>
      </c>
      <c r="E165" t="s">
        <v>38</v>
      </c>
      <c r="F165" t="s">
        <v>27</v>
      </c>
      <c r="G165" t="s">
        <v>789</v>
      </c>
      <c r="H165" s="12" t="s">
        <v>892</v>
      </c>
      <c r="J165" t="s">
        <v>43</v>
      </c>
      <c r="R165" t="s">
        <v>44</v>
      </c>
    </row>
    <row r="166" spans="1:22" x14ac:dyDescent="0.25">
      <c r="A166">
        <v>4</v>
      </c>
      <c r="B166" t="s">
        <v>70</v>
      </c>
      <c r="C166" t="s">
        <v>57</v>
      </c>
      <c r="D166" t="s">
        <v>71</v>
      </c>
      <c r="E166" t="s">
        <v>24</v>
      </c>
      <c r="F166" t="s">
        <v>27</v>
      </c>
      <c r="G166" t="s">
        <v>789</v>
      </c>
      <c r="H166" s="12" t="s">
        <v>892</v>
      </c>
      <c r="I166" t="s">
        <v>86</v>
      </c>
      <c r="J166" t="s">
        <v>72</v>
      </c>
      <c r="V166" t="s">
        <v>87</v>
      </c>
    </row>
    <row r="167" spans="1:22" x14ac:dyDescent="0.25">
      <c r="A167">
        <v>4</v>
      </c>
      <c r="B167" t="s">
        <v>70</v>
      </c>
      <c r="C167" t="s">
        <v>57</v>
      </c>
      <c r="D167" t="s">
        <v>71</v>
      </c>
      <c r="E167" t="s">
        <v>24</v>
      </c>
      <c r="F167" t="s">
        <v>27</v>
      </c>
      <c r="G167" t="s">
        <v>789</v>
      </c>
      <c r="H167" s="12" t="s">
        <v>892</v>
      </c>
      <c r="I167" t="s">
        <v>91</v>
      </c>
      <c r="J167" t="s">
        <v>88</v>
      </c>
      <c r="V167" t="s">
        <v>92</v>
      </c>
    </row>
    <row r="168" spans="1:22" x14ac:dyDescent="0.25">
      <c r="A168">
        <v>10</v>
      </c>
      <c r="B168" t="s">
        <v>233</v>
      </c>
      <c r="C168" t="s">
        <v>223</v>
      </c>
      <c r="D168" t="s">
        <v>234</v>
      </c>
      <c r="E168" t="s">
        <v>59</v>
      </c>
      <c r="F168" t="s">
        <v>703</v>
      </c>
      <c r="G168" t="s">
        <v>789</v>
      </c>
      <c r="H168" s="12" t="s">
        <v>892</v>
      </c>
      <c r="I168" t="s">
        <v>256</v>
      </c>
      <c r="O168" t="s">
        <v>257</v>
      </c>
      <c r="R168" t="s">
        <v>258</v>
      </c>
    </row>
    <row r="169" spans="1:22" x14ac:dyDescent="0.25">
      <c r="A169">
        <v>18</v>
      </c>
      <c r="B169" t="s">
        <v>589</v>
      </c>
      <c r="C169" t="s">
        <v>590</v>
      </c>
      <c r="D169" t="s">
        <v>591</v>
      </c>
      <c r="E169" t="s">
        <v>592</v>
      </c>
      <c r="F169" t="s">
        <v>27</v>
      </c>
      <c r="G169" t="s">
        <v>789</v>
      </c>
      <c r="H169" s="12" t="s">
        <v>892</v>
      </c>
      <c r="I169" t="s">
        <v>588</v>
      </c>
      <c r="K169" t="s">
        <v>594</v>
      </c>
      <c r="O169" t="s">
        <v>597</v>
      </c>
      <c r="Q169" t="s">
        <v>600</v>
      </c>
      <c r="R169" t="s">
        <v>258</v>
      </c>
    </row>
    <row r="170" spans="1:22" x14ac:dyDescent="0.25">
      <c r="A170">
        <v>11</v>
      </c>
      <c r="B170" t="s">
        <v>278</v>
      </c>
      <c r="C170" t="s">
        <v>279</v>
      </c>
      <c r="D170" t="s">
        <v>280</v>
      </c>
      <c r="E170" t="s">
        <v>59</v>
      </c>
      <c r="F170" t="s">
        <v>707</v>
      </c>
      <c r="G170" t="s">
        <v>789</v>
      </c>
      <c r="H170" s="12" t="s">
        <v>893</v>
      </c>
      <c r="I170" t="s">
        <v>301</v>
      </c>
      <c r="K170" t="s">
        <v>287</v>
      </c>
      <c r="M170" t="s">
        <v>30</v>
      </c>
      <c r="N170" t="s">
        <v>288</v>
      </c>
      <c r="O170" t="s">
        <v>302</v>
      </c>
    </row>
    <row r="171" spans="1:22" x14ac:dyDescent="0.25">
      <c r="A171">
        <v>11</v>
      </c>
      <c r="B171" t="s">
        <v>278</v>
      </c>
      <c r="C171" t="s">
        <v>279</v>
      </c>
      <c r="D171" t="s">
        <v>280</v>
      </c>
      <c r="E171" t="s">
        <v>59</v>
      </c>
      <c r="F171" t="s">
        <v>707</v>
      </c>
      <c r="G171" t="s">
        <v>789</v>
      </c>
      <c r="H171" s="12" t="s">
        <v>893</v>
      </c>
      <c r="I171" t="s">
        <v>304</v>
      </c>
      <c r="K171" t="s">
        <v>306</v>
      </c>
      <c r="M171" s="2">
        <v>0.99</v>
      </c>
      <c r="N171" t="s">
        <v>27</v>
      </c>
      <c r="O171" t="s">
        <v>305</v>
      </c>
    </row>
    <row r="172" spans="1:22" x14ac:dyDescent="0.25">
      <c r="A172">
        <v>11</v>
      </c>
      <c r="B172" t="s">
        <v>278</v>
      </c>
      <c r="C172" t="s">
        <v>279</v>
      </c>
      <c r="D172" t="s">
        <v>280</v>
      </c>
      <c r="E172" t="s">
        <v>59</v>
      </c>
      <c r="F172" t="s">
        <v>707</v>
      </c>
      <c r="G172" t="s">
        <v>789</v>
      </c>
      <c r="H172" s="12" t="s">
        <v>893</v>
      </c>
      <c r="I172" t="s">
        <v>296</v>
      </c>
      <c r="K172" t="s">
        <v>295</v>
      </c>
      <c r="M172" s="2">
        <v>0.99</v>
      </c>
      <c r="N172" t="s">
        <v>27</v>
      </c>
      <c r="O172" t="s">
        <v>297</v>
      </c>
    </row>
    <row r="173" spans="1:22" x14ac:dyDescent="0.25">
      <c r="A173">
        <v>2</v>
      </c>
      <c r="B173" t="s">
        <v>36</v>
      </c>
      <c r="C173" t="s">
        <v>22</v>
      </c>
      <c r="D173" t="s">
        <v>37</v>
      </c>
      <c r="E173" t="s">
        <v>38</v>
      </c>
      <c r="F173" t="s">
        <v>27</v>
      </c>
      <c r="G173" t="s">
        <v>789</v>
      </c>
      <c r="H173" s="12" t="s">
        <v>893</v>
      </c>
      <c r="J173" t="s">
        <v>41</v>
      </c>
      <c r="R173" t="s">
        <v>42</v>
      </c>
    </row>
    <row r="174" spans="1:22" x14ac:dyDescent="0.25">
      <c r="A174">
        <v>2</v>
      </c>
      <c r="B174" t="s">
        <v>36</v>
      </c>
      <c r="C174" t="s">
        <v>22</v>
      </c>
      <c r="D174" t="s">
        <v>37</v>
      </c>
      <c r="E174" t="s">
        <v>38</v>
      </c>
      <c r="F174" t="s">
        <v>27</v>
      </c>
      <c r="G174" t="s">
        <v>789</v>
      </c>
      <c r="H174" s="12" t="s">
        <v>893</v>
      </c>
      <c r="J174" t="s">
        <v>47</v>
      </c>
      <c r="R174" t="s">
        <v>48</v>
      </c>
    </row>
    <row r="175" spans="1:22" x14ac:dyDescent="0.25">
      <c r="A175">
        <v>4</v>
      </c>
      <c r="B175" t="s">
        <v>70</v>
      </c>
      <c r="C175" t="s">
        <v>57</v>
      </c>
      <c r="D175" t="s">
        <v>71</v>
      </c>
      <c r="E175" t="s">
        <v>24</v>
      </c>
      <c r="F175" t="s">
        <v>27</v>
      </c>
      <c r="G175" t="s">
        <v>789</v>
      </c>
      <c r="H175" s="12" t="s">
        <v>893</v>
      </c>
      <c r="I175" t="s">
        <v>89</v>
      </c>
      <c r="J175" t="s">
        <v>88</v>
      </c>
      <c r="V175" t="s">
        <v>87</v>
      </c>
    </row>
    <row r="176" spans="1:22" x14ac:dyDescent="0.25">
      <c r="A176">
        <v>8</v>
      </c>
      <c r="B176" t="s">
        <v>157</v>
      </c>
      <c r="C176" t="s">
        <v>57</v>
      </c>
      <c r="D176" t="s">
        <v>158</v>
      </c>
      <c r="E176" t="s">
        <v>159</v>
      </c>
      <c r="F176" t="s">
        <v>715</v>
      </c>
      <c r="G176" t="s">
        <v>789</v>
      </c>
      <c r="H176" s="12" t="s">
        <v>893</v>
      </c>
      <c r="I176" t="s">
        <v>195</v>
      </c>
      <c r="J176" t="s">
        <v>194</v>
      </c>
      <c r="K176" t="s">
        <v>197</v>
      </c>
      <c r="M176" t="s">
        <v>193</v>
      </c>
      <c r="O176" t="s">
        <v>196</v>
      </c>
      <c r="S176">
        <v>10</v>
      </c>
    </row>
    <row r="177" spans="1:22" x14ac:dyDescent="0.25">
      <c r="A177">
        <v>8</v>
      </c>
      <c r="B177" t="s">
        <v>157</v>
      </c>
      <c r="C177" t="s">
        <v>57</v>
      </c>
      <c r="D177" t="s">
        <v>158</v>
      </c>
      <c r="E177" t="s">
        <v>159</v>
      </c>
      <c r="F177" t="s">
        <v>715</v>
      </c>
      <c r="G177" t="s">
        <v>789</v>
      </c>
      <c r="H177" s="12" t="s">
        <v>893</v>
      </c>
      <c r="I177" t="s">
        <v>198</v>
      </c>
      <c r="J177" t="s">
        <v>194</v>
      </c>
      <c r="K177" t="s">
        <v>170</v>
      </c>
      <c r="M177" t="s">
        <v>199</v>
      </c>
      <c r="O177" t="s">
        <v>196</v>
      </c>
      <c r="S177">
        <v>100</v>
      </c>
    </row>
    <row r="178" spans="1:22" x14ac:dyDescent="0.25">
      <c r="A178">
        <v>10</v>
      </c>
      <c r="B178" t="s">
        <v>233</v>
      </c>
      <c r="C178" t="s">
        <v>223</v>
      </c>
      <c r="D178" t="s">
        <v>234</v>
      </c>
      <c r="E178" t="s">
        <v>59</v>
      </c>
      <c r="F178" t="s">
        <v>703</v>
      </c>
      <c r="G178" t="s">
        <v>789</v>
      </c>
      <c r="H178" s="12" t="s">
        <v>893</v>
      </c>
      <c r="I178" t="s">
        <v>273</v>
      </c>
      <c r="O178" t="s">
        <v>274</v>
      </c>
      <c r="R178" t="s">
        <v>275</v>
      </c>
    </row>
    <row r="179" spans="1:22" x14ac:dyDescent="0.25">
      <c r="A179">
        <v>11</v>
      </c>
      <c r="B179" t="s">
        <v>278</v>
      </c>
      <c r="C179" t="s">
        <v>279</v>
      </c>
      <c r="D179" t="s">
        <v>280</v>
      </c>
      <c r="E179" t="s">
        <v>59</v>
      </c>
      <c r="F179" t="s">
        <v>707</v>
      </c>
      <c r="G179" t="s">
        <v>789</v>
      </c>
      <c r="H179" s="12" t="s">
        <v>893</v>
      </c>
      <c r="I179" t="s">
        <v>285</v>
      </c>
      <c r="K179" t="s">
        <v>287</v>
      </c>
      <c r="M179" t="s">
        <v>30</v>
      </c>
      <c r="N179" t="s">
        <v>288</v>
      </c>
      <c r="O179" t="s">
        <v>286</v>
      </c>
    </row>
    <row r="180" spans="1:22" x14ac:dyDescent="0.25">
      <c r="A180">
        <v>11</v>
      </c>
      <c r="B180" t="s">
        <v>278</v>
      </c>
      <c r="C180" t="s">
        <v>279</v>
      </c>
      <c r="D180" t="s">
        <v>280</v>
      </c>
      <c r="E180" t="s">
        <v>59</v>
      </c>
      <c r="F180" t="s">
        <v>707</v>
      </c>
      <c r="G180" t="s">
        <v>789</v>
      </c>
      <c r="H180" s="12" t="s">
        <v>893</v>
      </c>
      <c r="I180" t="s">
        <v>290</v>
      </c>
      <c r="K180" t="s">
        <v>287</v>
      </c>
      <c r="M180" t="s">
        <v>30</v>
      </c>
      <c r="N180" t="s">
        <v>288</v>
      </c>
      <c r="O180" t="s">
        <v>291</v>
      </c>
    </row>
    <row r="181" spans="1:22" x14ac:dyDescent="0.25">
      <c r="A181">
        <v>11</v>
      </c>
      <c r="B181" t="s">
        <v>278</v>
      </c>
      <c r="C181" t="s">
        <v>279</v>
      </c>
      <c r="D181" t="s">
        <v>280</v>
      </c>
      <c r="E181" t="s">
        <v>59</v>
      </c>
      <c r="F181" t="s">
        <v>707</v>
      </c>
      <c r="G181" t="s">
        <v>789</v>
      </c>
      <c r="H181" s="12" t="s">
        <v>893</v>
      </c>
      <c r="I181" t="s">
        <v>293</v>
      </c>
      <c r="K181" t="s">
        <v>295</v>
      </c>
      <c r="M181" t="s">
        <v>30</v>
      </c>
      <c r="N181" t="s">
        <v>288</v>
      </c>
      <c r="O181" t="s">
        <v>294</v>
      </c>
    </row>
    <row r="182" spans="1:22" x14ac:dyDescent="0.25">
      <c r="A182">
        <v>13</v>
      </c>
      <c r="B182" t="s">
        <v>335</v>
      </c>
      <c r="C182" t="s">
        <v>313</v>
      </c>
      <c r="D182" t="s">
        <v>336</v>
      </c>
      <c r="E182" t="s">
        <v>337</v>
      </c>
      <c r="F182" t="s">
        <v>27</v>
      </c>
      <c r="G182" t="s">
        <v>789</v>
      </c>
      <c r="H182" s="12" t="s">
        <v>893</v>
      </c>
      <c r="I182" t="s">
        <v>41</v>
      </c>
      <c r="K182" t="s">
        <v>381</v>
      </c>
      <c r="M182">
        <v>99</v>
      </c>
      <c r="O182" t="s">
        <v>383</v>
      </c>
      <c r="Q182" t="s">
        <v>382</v>
      </c>
    </row>
    <row r="183" spans="1:22" x14ac:dyDescent="0.25">
      <c r="A183">
        <v>14</v>
      </c>
      <c r="B183" t="s">
        <v>400</v>
      </c>
      <c r="C183" t="s">
        <v>313</v>
      </c>
      <c r="D183" t="s">
        <v>401</v>
      </c>
      <c r="E183" t="s">
        <v>402</v>
      </c>
      <c r="F183" t="s">
        <v>27</v>
      </c>
      <c r="G183" t="s">
        <v>789</v>
      </c>
      <c r="H183" s="12" t="s">
        <v>893</v>
      </c>
      <c r="I183" t="s">
        <v>488</v>
      </c>
      <c r="J183" t="s">
        <v>491</v>
      </c>
      <c r="K183" t="s">
        <v>33</v>
      </c>
      <c r="M183" t="s">
        <v>347</v>
      </c>
      <c r="N183" t="s">
        <v>347</v>
      </c>
      <c r="O183" t="s">
        <v>456</v>
      </c>
      <c r="R183" t="s">
        <v>492</v>
      </c>
      <c r="S183" t="s">
        <v>495</v>
      </c>
    </row>
    <row r="184" spans="1:22" x14ac:dyDescent="0.25">
      <c r="A184">
        <v>15</v>
      </c>
      <c r="B184" t="s">
        <v>542</v>
      </c>
      <c r="C184" t="s">
        <v>543</v>
      </c>
      <c r="D184" t="s">
        <v>544</v>
      </c>
      <c r="E184" t="s">
        <v>545</v>
      </c>
      <c r="F184" t="s">
        <v>27</v>
      </c>
      <c r="G184" t="s">
        <v>789</v>
      </c>
      <c r="H184" s="12" t="s">
        <v>893</v>
      </c>
      <c r="I184" t="s">
        <v>546</v>
      </c>
      <c r="R184" t="s">
        <v>547</v>
      </c>
      <c r="T184" t="s">
        <v>320</v>
      </c>
      <c r="U184" t="s">
        <v>548</v>
      </c>
    </row>
    <row r="185" spans="1:22" x14ac:dyDescent="0.25">
      <c r="A185">
        <v>11</v>
      </c>
      <c r="B185" t="s">
        <v>278</v>
      </c>
      <c r="C185" t="s">
        <v>279</v>
      </c>
      <c r="D185" t="s">
        <v>280</v>
      </c>
      <c r="E185" t="s">
        <v>59</v>
      </c>
      <c r="F185" t="s">
        <v>707</v>
      </c>
      <c r="G185" t="s">
        <v>789</v>
      </c>
      <c r="H185" s="12" t="s">
        <v>893</v>
      </c>
      <c r="I185" t="s">
        <v>281</v>
      </c>
      <c r="K185" t="s">
        <v>31</v>
      </c>
      <c r="M185" t="s">
        <v>30</v>
      </c>
      <c r="N185" t="s">
        <v>283</v>
      </c>
      <c r="O185" t="s">
        <v>282</v>
      </c>
    </row>
    <row r="186" spans="1:22" x14ac:dyDescent="0.25">
      <c r="A186">
        <v>11</v>
      </c>
      <c r="B186" t="s">
        <v>278</v>
      </c>
      <c r="C186" t="s">
        <v>279</v>
      </c>
      <c r="D186" t="s">
        <v>280</v>
      </c>
      <c r="E186" t="s">
        <v>59</v>
      </c>
      <c r="F186" t="s">
        <v>707</v>
      </c>
      <c r="G186" t="s">
        <v>789</v>
      </c>
      <c r="H186" s="12" t="s">
        <v>893</v>
      </c>
      <c r="I186" t="s">
        <v>298</v>
      </c>
      <c r="K186" t="s">
        <v>287</v>
      </c>
      <c r="M186" t="s">
        <v>30</v>
      </c>
      <c r="N186" t="s">
        <v>283</v>
      </c>
      <c r="O186" t="s">
        <v>299</v>
      </c>
    </row>
    <row r="187" spans="1:22" x14ac:dyDescent="0.25">
      <c r="A187">
        <v>14</v>
      </c>
      <c r="B187" t="s">
        <v>400</v>
      </c>
      <c r="C187" t="s">
        <v>313</v>
      </c>
      <c r="D187" t="s">
        <v>401</v>
      </c>
      <c r="E187" t="s">
        <v>402</v>
      </c>
      <c r="F187" t="s">
        <v>27</v>
      </c>
      <c r="G187" t="s">
        <v>789</v>
      </c>
      <c r="H187" s="12" t="s">
        <v>894</v>
      </c>
      <c r="I187" t="s">
        <v>490</v>
      </c>
      <c r="J187" t="s">
        <v>491</v>
      </c>
      <c r="K187" t="s">
        <v>27</v>
      </c>
      <c r="M187" t="s">
        <v>362</v>
      </c>
      <c r="N187" t="s">
        <v>362</v>
      </c>
      <c r="O187" t="s">
        <v>445</v>
      </c>
      <c r="R187" t="s">
        <v>494</v>
      </c>
      <c r="S187" t="s">
        <v>497</v>
      </c>
    </row>
    <row r="188" spans="1:22" x14ac:dyDescent="0.25">
      <c r="A188">
        <v>14</v>
      </c>
      <c r="B188" t="s">
        <v>400</v>
      </c>
      <c r="C188" t="s">
        <v>313</v>
      </c>
      <c r="D188" t="s">
        <v>401</v>
      </c>
      <c r="E188" t="s">
        <v>402</v>
      </c>
      <c r="F188" t="s">
        <v>27</v>
      </c>
      <c r="G188" t="s">
        <v>789</v>
      </c>
      <c r="H188" s="12" t="s">
        <v>894</v>
      </c>
      <c r="I188" t="s">
        <v>528</v>
      </c>
      <c r="J188" t="s">
        <v>531</v>
      </c>
      <c r="K188" t="s">
        <v>163</v>
      </c>
      <c r="M188" t="s">
        <v>362</v>
      </c>
      <c r="N188" t="s">
        <v>362</v>
      </c>
      <c r="O188" t="s">
        <v>445</v>
      </c>
      <c r="R188" t="s">
        <v>476</v>
      </c>
      <c r="S188" t="s">
        <v>536</v>
      </c>
    </row>
    <row r="189" spans="1:22" x14ac:dyDescent="0.25">
      <c r="A189">
        <v>4</v>
      </c>
      <c r="B189" t="s">
        <v>70</v>
      </c>
      <c r="C189" t="s">
        <v>57</v>
      </c>
      <c r="D189" t="s">
        <v>71</v>
      </c>
      <c r="E189" t="s">
        <v>24</v>
      </c>
      <c r="F189" t="s">
        <v>27</v>
      </c>
      <c r="G189" t="s">
        <v>789</v>
      </c>
      <c r="H189" s="12" t="s">
        <v>894</v>
      </c>
      <c r="I189" t="s">
        <v>86</v>
      </c>
      <c r="J189" t="s">
        <v>72</v>
      </c>
      <c r="V189" t="s">
        <v>87</v>
      </c>
    </row>
    <row r="190" spans="1:22" x14ac:dyDescent="0.25">
      <c r="A190">
        <v>2</v>
      </c>
      <c r="B190" t="s">
        <v>36</v>
      </c>
      <c r="C190" t="s">
        <v>22</v>
      </c>
      <c r="D190" t="s">
        <v>37</v>
      </c>
      <c r="E190" t="s">
        <v>38</v>
      </c>
      <c r="F190" t="s">
        <v>27</v>
      </c>
      <c r="G190" t="s">
        <v>789</v>
      </c>
      <c r="H190" s="12" t="s">
        <v>894</v>
      </c>
      <c r="J190" t="s">
        <v>49</v>
      </c>
      <c r="R190" t="s">
        <v>50</v>
      </c>
    </row>
    <row r="191" spans="1:22" x14ac:dyDescent="0.25">
      <c r="A191">
        <v>8</v>
      </c>
      <c r="B191" t="s">
        <v>157</v>
      </c>
      <c r="C191" t="s">
        <v>57</v>
      </c>
      <c r="D191" t="s">
        <v>158</v>
      </c>
      <c r="E191" t="s">
        <v>159</v>
      </c>
      <c r="F191" t="s">
        <v>715</v>
      </c>
      <c r="G191" t="s">
        <v>789</v>
      </c>
      <c r="H191" s="12" t="s">
        <v>894</v>
      </c>
      <c r="I191" t="s">
        <v>201</v>
      </c>
      <c r="J191" t="s">
        <v>200</v>
      </c>
      <c r="K191" t="s">
        <v>203</v>
      </c>
      <c r="M191" t="s">
        <v>204</v>
      </c>
      <c r="O191" t="s">
        <v>202</v>
      </c>
      <c r="S191">
        <v>900</v>
      </c>
    </row>
    <row r="192" spans="1:22" x14ac:dyDescent="0.25">
      <c r="A192">
        <v>8</v>
      </c>
      <c r="B192" t="s">
        <v>157</v>
      </c>
      <c r="C192" t="s">
        <v>57</v>
      </c>
      <c r="D192" t="s">
        <v>158</v>
      </c>
      <c r="E192" t="s">
        <v>159</v>
      </c>
      <c r="F192" t="s">
        <v>715</v>
      </c>
      <c r="G192" t="s">
        <v>789</v>
      </c>
      <c r="H192" s="12" t="s">
        <v>894</v>
      </c>
      <c r="I192" t="s">
        <v>205</v>
      </c>
      <c r="J192" t="s">
        <v>200</v>
      </c>
      <c r="K192" t="s">
        <v>176</v>
      </c>
      <c r="M192" t="s">
        <v>204</v>
      </c>
      <c r="O192" t="s">
        <v>206</v>
      </c>
      <c r="S192" t="s">
        <v>207</v>
      </c>
    </row>
    <row r="193" spans="1:22" x14ac:dyDescent="0.25">
      <c r="A193">
        <v>8</v>
      </c>
      <c r="B193" t="s">
        <v>157</v>
      </c>
      <c r="C193" t="s">
        <v>57</v>
      </c>
      <c r="D193" t="s">
        <v>158</v>
      </c>
      <c r="E193" t="s">
        <v>159</v>
      </c>
      <c r="F193" t="s">
        <v>715</v>
      </c>
      <c r="G193" t="s">
        <v>789</v>
      </c>
      <c r="H193" s="12" t="s">
        <v>894</v>
      </c>
      <c r="I193" t="s">
        <v>208</v>
      </c>
      <c r="J193" t="s">
        <v>200</v>
      </c>
      <c r="K193" t="s">
        <v>176</v>
      </c>
      <c r="M193" t="s">
        <v>204</v>
      </c>
      <c r="O193" t="s">
        <v>209</v>
      </c>
      <c r="S193">
        <v>60</v>
      </c>
    </row>
    <row r="194" spans="1:22" x14ac:dyDescent="0.25">
      <c r="A194">
        <v>8</v>
      </c>
      <c r="B194" t="s">
        <v>157</v>
      </c>
      <c r="C194" t="s">
        <v>57</v>
      </c>
      <c r="D194" t="s">
        <v>158</v>
      </c>
      <c r="E194" t="s">
        <v>159</v>
      </c>
      <c r="F194" t="s">
        <v>715</v>
      </c>
      <c r="G194" t="s">
        <v>789</v>
      </c>
      <c r="H194" s="12" t="s">
        <v>894</v>
      </c>
      <c r="I194" t="s">
        <v>213</v>
      </c>
      <c r="J194" t="s">
        <v>200</v>
      </c>
      <c r="K194" t="s">
        <v>203</v>
      </c>
      <c r="M194" t="s">
        <v>204</v>
      </c>
      <c r="O194" t="s">
        <v>209</v>
      </c>
      <c r="S194">
        <v>700</v>
      </c>
    </row>
    <row r="195" spans="1:22" x14ac:dyDescent="0.25">
      <c r="A195">
        <v>15</v>
      </c>
      <c r="B195" t="s">
        <v>542</v>
      </c>
      <c r="C195" t="s">
        <v>543</v>
      </c>
      <c r="D195" t="s">
        <v>544</v>
      </c>
      <c r="E195" t="s">
        <v>545</v>
      </c>
      <c r="F195" t="s">
        <v>27</v>
      </c>
      <c r="G195" t="s">
        <v>789</v>
      </c>
      <c r="H195" s="12" t="s">
        <v>894</v>
      </c>
      <c r="I195" t="s">
        <v>549</v>
      </c>
      <c r="R195" t="s">
        <v>551</v>
      </c>
      <c r="T195" t="s">
        <v>550</v>
      </c>
      <c r="U195" t="s">
        <v>552</v>
      </c>
    </row>
    <row r="196" spans="1:22" x14ac:dyDescent="0.25">
      <c r="A196">
        <v>13</v>
      </c>
      <c r="B196" t="s">
        <v>335</v>
      </c>
      <c r="C196" t="s">
        <v>313</v>
      </c>
      <c r="D196" t="s">
        <v>336</v>
      </c>
      <c r="E196" t="s">
        <v>337</v>
      </c>
      <c r="F196" t="s">
        <v>27</v>
      </c>
      <c r="G196" t="s">
        <v>789</v>
      </c>
      <c r="H196" s="12" t="s">
        <v>894</v>
      </c>
      <c r="I196" t="s">
        <v>801</v>
      </c>
      <c r="K196" t="s">
        <v>381</v>
      </c>
      <c r="M196">
        <v>99</v>
      </c>
      <c r="O196" t="s">
        <v>383</v>
      </c>
      <c r="Q196" t="s">
        <v>382</v>
      </c>
    </row>
    <row r="197" spans="1:22" s="4" customFormat="1" x14ac:dyDescent="0.25"/>
    <row r="198" spans="1:22" x14ac:dyDescent="0.25">
      <c r="A198">
        <v>5</v>
      </c>
      <c r="B198" t="s">
        <v>96</v>
      </c>
      <c r="C198" t="s">
        <v>57</v>
      </c>
      <c r="D198" t="s">
        <v>97</v>
      </c>
      <c r="E198" t="s">
        <v>98</v>
      </c>
      <c r="F198" t="s">
        <v>724</v>
      </c>
      <c r="G198" t="s">
        <v>790</v>
      </c>
      <c r="H198" s="12" t="s">
        <v>905</v>
      </c>
      <c r="I198" t="s">
        <v>182</v>
      </c>
      <c r="K198" t="s">
        <v>101</v>
      </c>
      <c r="O198" t="s">
        <v>100</v>
      </c>
      <c r="V198" t="s">
        <v>102</v>
      </c>
    </row>
    <row r="199" spans="1:22" x14ac:dyDescent="0.25">
      <c r="A199">
        <v>6</v>
      </c>
      <c r="B199" t="s">
        <v>112</v>
      </c>
      <c r="C199" t="s">
        <v>57</v>
      </c>
      <c r="D199" t="s">
        <v>113</v>
      </c>
      <c r="E199" t="s">
        <v>24</v>
      </c>
      <c r="F199" t="s">
        <v>722</v>
      </c>
      <c r="G199" t="s">
        <v>790</v>
      </c>
      <c r="H199" s="12" t="s">
        <v>905</v>
      </c>
      <c r="I199" t="s">
        <v>131</v>
      </c>
      <c r="J199" t="s">
        <v>130</v>
      </c>
      <c r="K199" t="s">
        <v>132</v>
      </c>
      <c r="L199" t="s">
        <v>123</v>
      </c>
    </row>
    <row r="200" spans="1:22" x14ac:dyDescent="0.25">
      <c r="A200">
        <v>6</v>
      </c>
      <c r="B200" t="s">
        <v>112</v>
      </c>
      <c r="C200" t="s">
        <v>57</v>
      </c>
      <c r="D200" t="s">
        <v>113</v>
      </c>
      <c r="E200" t="s">
        <v>24</v>
      </c>
      <c r="F200" t="s">
        <v>722</v>
      </c>
      <c r="G200" t="s">
        <v>790</v>
      </c>
      <c r="H200" s="12" t="s">
        <v>905</v>
      </c>
      <c r="I200" t="s">
        <v>133</v>
      </c>
      <c r="J200" t="s">
        <v>130</v>
      </c>
      <c r="K200" t="s">
        <v>134</v>
      </c>
      <c r="L200" t="s">
        <v>123</v>
      </c>
    </row>
    <row r="201" spans="1:22" x14ac:dyDescent="0.25">
      <c r="A201">
        <v>7</v>
      </c>
      <c r="B201" t="s">
        <v>143</v>
      </c>
      <c r="C201" t="s">
        <v>57</v>
      </c>
      <c r="D201" t="s">
        <v>144</v>
      </c>
      <c r="E201" t="s">
        <v>145</v>
      </c>
      <c r="F201" t="s">
        <v>27</v>
      </c>
      <c r="G201" t="s">
        <v>790</v>
      </c>
      <c r="H201" s="12" t="s">
        <v>905</v>
      </c>
      <c r="I201" t="s">
        <v>146</v>
      </c>
      <c r="K201" t="s">
        <v>126</v>
      </c>
      <c r="M201" t="s">
        <v>148</v>
      </c>
      <c r="O201" t="s">
        <v>147</v>
      </c>
    </row>
    <row r="202" spans="1:22" x14ac:dyDescent="0.25">
      <c r="A202">
        <v>8</v>
      </c>
      <c r="B202" t="s">
        <v>157</v>
      </c>
      <c r="C202" t="s">
        <v>57</v>
      </c>
      <c r="D202" t="s">
        <v>158</v>
      </c>
      <c r="E202" t="s">
        <v>159</v>
      </c>
      <c r="F202" t="s">
        <v>715</v>
      </c>
      <c r="G202" t="s">
        <v>790</v>
      </c>
      <c r="H202" s="12" t="s">
        <v>905</v>
      </c>
      <c r="I202" t="s">
        <v>183</v>
      </c>
      <c r="J202" t="s">
        <v>182</v>
      </c>
      <c r="K202" t="s">
        <v>33</v>
      </c>
      <c r="M202" t="s">
        <v>173</v>
      </c>
      <c r="O202" t="s">
        <v>184</v>
      </c>
      <c r="S202" t="s">
        <v>27</v>
      </c>
    </row>
    <row r="203" spans="1:22" x14ac:dyDescent="0.25">
      <c r="A203">
        <v>8</v>
      </c>
      <c r="B203" t="s">
        <v>157</v>
      </c>
      <c r="C203" t="s">
        <v>57</v>
      </c>
      <c r="D203" t="s">
        <v>158</v>
      </c>
      <c r="E203" t="s">
        <v>159</v>
      </c>
      <c r="F203" t="s">
        <v>715</v>
      </c>
      <c r="G203" t="s">
        <v>790</v>
      </c>
      <c r="H203" s="12" t="s">
        <v>905</v>
      </c>
      <c r="I203" t="s">
        <v>185</v>
      </c>
      <c r="J203" t="s">
        <v>182</v>
      </c>
      <c r="K203" t="s">
        <v>33</v>
      </c>
      <c r="M203" t="s">
        <v>27</v>
      </c>
      <c r="O203" t="s">
        <v>186</v>
      </c>
      <c r="S203" t="s">
        <v>187</v>
      </c>
    </row>
    <row r="204" spans="1:22" x14ac:dyDescent="0.25">
      <c r="A204">
        <v>8</v>
      </c>
      <c r="B204" t="s">
        <v>157</v>
      </c>
      <c r="C204" t="s">
        <v>57</v>
      </c>
      <c r="D204" t="s">
        <v>158</v>
      </c>
      <c r="E204" t="s">
        <v>159</v>
      </c>
      <c r="F204" t="s">
        <v>715</v>
      </c>
      <c r="G204" t="s">
        <v>790</v>
      </c>
      <c r="H204" s="12" t="s">
        <v>905</v>
      </c>
      <c r="I204" t="s">
        <v>188</v>
      </c>
      <c r="J204" t="s">
        <v>182</v>
      </c>
      <c r="K204" t="s">
        <v>170</v>
      </c>
      <c r="M204" t="s">
        <v>189</v>
      </c>
      <c r="O204" t="s">
        <v>184</v>
      </c>
      <c r="S204" t="s">
        <v>27</v>
      </c>
    </row>
    <row r="205" spans="1:22" x14ac:dyDescent="0.25">
      <c r="A205">
        <v>10</v>
      </c>
      <c r="B205" t="s">
        <v>233</v>
      </c>
      <c r="C205" t="s">
        <v>223</v>
      </c>
      <c r="D205" t="s">
        <v>234</v>
      </c>
      <c r="E205" t="s">
        <v>59</v>
      </c>
      <c r="F205" t="s">
        <v>703</v>
      </c>
      <c r="G205" t="s">
        <v>790</v>
      </c>
      <c r="H205" s="12" t="s">
        <v>905</v>
      </c>
      <c r="I205" t="s">
        <v>130</v>
      </c>
      <c r="O205" t="s">
        <v>268</v>
      </c>
      <c r="R205" t="s">
        <v>269</v>
      </c>
    </row>
    <row r="206" spans="1:22" x14ac:dyDescent="0.25">
      <c r="A206">
        <v>13</v>
      </c>
      <c r="B206" t="s">
        <v>335</v>
      </c>
      <c r="C206" t="s">
        <v>313</v>
      </c>
      <c r="D206" t="s">
        <v>336</v>
      </c>
      <c r="E206" t="s">
        <v>59</v>
      </c>
      <c r="F206" t="s">
        <v>737</v>
      </c>
      <c r="G206" t="s">
        <v>790</v>
      </c>
      <c r="H206" s="12" t="s">
        <v>905</v>
      </c>
      <c r="I206" t="s">
        <v>793</v>
      </c>
      <c r="K206" t="s">
        <v>241</v>
      </c>
      <c r="M206" t="s">
        <v>338</v>
      </c>
    </row>
    <row r="207" spans="1:22" x14ac:dyDescent="0.25">
      <c r="A207">
        <v>13</v>
      </c>
      <c r="B207" t="s">
        <v>335</v>
      </c>
      <c r="C207" t="s">
        <v>313</v>
      </c>
      <c r="D207" t="s">
        <v>336</v>
      </c>
      <c r="E207" t="s">
        <v>59</v>
      </c>
      <c r="F207" t="s">
        <v>737</v>
      </c>
      <c r="G207" t="s">
        <v>790</v>
      </c>
      <c r="H207" s="12" t="s">
        <v>905</v>
      </c>
      <c r="I207" t="s">
        <v>793</v>
      </c>
      <c r="K207" t="s">
        <v>343</v>
      </c>
      <c r="M207" t="s">
        <v>342</v>
      </c>
    </row>
    <row r="208" spans="1:22" x14ac:dyDescent="0.25">
      <c r="A208">
        <v>13</v>
      </c>
      <c r="B208" t="s">
        <v>335</v>
      </c>
      <c r="C208" t="s">
        <v>313</v>
      </c>
      <c r="D208" t="s">
        <v>336</v>
      </c>
      <c r="E208" t="s">
        <v>59</v>
      </c>
      <c r="F208" t="s">
        <v>737</v>
      </c>
      <c r="G208" t="s">
        <v>790</v>
      </c>
      <c r="H208" s="12" t="s">
        <v>905</v>
      </c>
      <c r="I208" t="s">
        <v>796</v>
      </c>
      <c r="K208">
        <v>2</v>
      </c>
      <c r="M208" t="s">
        <v>345</v>
      </c>
    </row>
    <row r="209" spans="1:22" x14ac:dyDescent="0.25">
      <c r="A209">
        <v>13</v>
      </c>
      <c r="B209" t="s">
        <v>335</v>
      </c>
      <c r="C209" t="s">
        <v>313</v>
      </c>
      <c r="D209" t="s">
        <v>336</v>
      </c>
      <c r="E209" t="s">
        <v>59</v>
      </c>
      <c r="F209" t="s">
        <v>737</v>
      </c>
      <c r="G209" t="s">
        <v>790</v>
      </c>
      <c r="H209" s="12" t="s">
        <v>905</v>
      </c>
      <c r="I209" t="s">
        <v>793</v>
      </c>
      <c r="K209">
        <v>1</v>
      </c>
      <c r="M209" t="s">
        <v>347</v>
      </c>
    </row>
    <row r="210" spans="1:22" x14ac:dyDescent="0.25">
      <c r="A210">
        <v>13</v>
      </c>
      <c r="B210" t="s">
        <v>335</v>
      </c>
      <c r="C210" t="s">
        <v>313</v>
      </c>
      <c r="D210" t="s">
        <v>336</v>
      </c>
      <c r="E210" t="s">
        <v>59</v>
      </c>
      <c r="F210" t="s">
        <v>737</v>
      </c>
      <c r="G210" t="s">
        <v>790</v>
      </c>
      <c r="H210" s="12" t="s">
        <v>905</v>
      </c>
      <c r="I210" t="s">
        <v>793</v>
      </c>
      <c r="K210">
        <v>2</v>
      </c>
      <c r="M210" t="s">
        <v>345</v>
      </c>
    </row>
    <row r="211" spans="1:22" x14ac:dyDescent="0.25">
      <c r="A211">
        <v>13</v>
      </c>
      <c r="B211" t="s">
        <v>335</v>
      </c>
      <c r="C211" t="s">
        <v>313</v>
      </c>
      <c r="D211" t="s">
        <v>336</v>
      </c>
      <c r="E211" t="s">
        <v>59</v>
      </c>
      <c r="F211" t="s">
        <v>737</v>
      </c>
      <c r="G211" t="s">
        <v>790</v>
      </c>
      <c r="H211" s="12" t="s">
        <v>905</v>
      </c>
      <c r="I211" t="s">
        <v>799</v>
      </c>
      <c r="K211" t="s">
        <v>351</v>
      </c>
      <c r="M211" t="s">
        <v>347</v>
      </c>
    </row>
    <row r="212" spans="1:22" x14ac:dyDescent="0.25">
      <c r="A212">
        <v>13</v>
      </c>
      <c r="B212" t="s">
        <v>335</v>
      </c>
      <c r="C212" t="s">
        <v>313</v>
      </c>
      <c r="D212" t="s">
        <v>336</v>
      </c>
      <c r="E212" t="s">
        <v>59</v>
      </c>
      <c r="F212" t="s">
        <v>737</v>
      </c>
      <c r="G212" t="s">
        <v>790</v>
      </c>
      <c r="H212" s="12" t="s">
        <v>905</v>
      </c>
      <c r="I212" t="s">
        <v>356</v>
      </c>
      <c r="J212" t="s">
        <v>182</v>
      </c>
      <c r="K212" t="s">
        <v>366</v>
      </c>
      <c r="M212" t="s">
        <v>709</v>
      </c>
    </row>
    <row r="213" spans="1:22" x14ac:dyDescent="0.25">
      <c r="A213">
        <v>13</v>
      </c>
      <c r="B213" t="s">
        <v>335</v>
      </c>
      <c r="C213" t="s">
        <v>313</v>
      </c>
      <c r="D213" t="s">
        <v>336</v>
      </c>
      <c r="E213" t="s">
        <v>59</v>
      </c>
      <c r="F213" t="s">
        <v>737</v>
      </c>
      <c r="G213" t="s">
        <v>790</v>
      </c>
      <c r="H213" s="12" t="s">
        <v>905</v>
      </c>
      <c r="I213" t="s">
        <v>367</v>
      </c>
      <c r="J213" t="s">
        <v>182</v>
      </c>
      <c r="K213" t="s">
        <v>366</v>
      </c>
      <c r="M213" t="s">
        <v>709</v>
      </c>
    </row>
    <row r="214" spans="1:22" x14ac:dyDescent="0.25">
      <c r="A214">
        <v>13</v>
      </c>
      <c r="B214" t="s">
        <v>335</v>
      </c>
      <c r="C214" t="s">
        <v>313</v>
      </c>
      <c r="D214" t="s">
        <v>336</v>
      </c>
      <c r="E214" t="s">
        <v>59</v>
      </c>
      <c r="F214" t="s">
        <v>737</v>
      </c>
      <c r="G214" t="s">
        <v>790</v>
      </c>
      <c r="H214" s="12" t="s">
        <v>905</v>
      </c>
      <c r="I214" t="s">
        <v>358</v>
      </c>
      <c r="J214" t="s">
        <v>182</v>
      </c>
      <c r="K214" t="s">
        <v>368</v>
      </c>
      <c r="M214" t="s">
        <v>359</v>
      </c>
    </row>
    <row r="215" spans="1:22" x14ac:dyDescent="0.25">
      <c r="A215">
        <v>13</v>
      </c>
      <c r="B215" t="s">
        <v>335</v>
      </c>
      <c r="C215" t="s">
        <v>313</v>
      </c>
      <c r="D215" t="s">
        <v>336</v>
      </c>
      <c r="E215" t="s">
        <v>59</v>
      </c>
      <c r="F215" t="s">
        <v>737</v>
      </c>
      <c r="G215" t="s">
        <v>790</v>
      </c>
      <c r="H215" s="12" t="s">
        <v>905</v>
      </c>
      <c r="I215" t="s">
        <v>365</v>
      </c>
      <c r="J215" t="s">
        <v>182</v>
      </c>
      <c r="K215">
        <v>2</v>
      </c>
      <c r="M215" t="s">
        <v>362</v>
      </c>
    </row>
    <row r="216" spans="1:22" x14ac:dyDescent="0.25">
      <c r="A216">
        <v>13</v>
      </c>
      <c r="B216" t="s">
        <v>335</v>
      </c>
      <c r="C216" t="s">
        <v>313</v>
      </c>
      <c r="D216" t="s">
        <v>336</v>
      </c>
      <c r="E216" t="s">
        <v>337</v>
      </c>
      <c r="F216" t="s">
        <v>27</v>
      </c>
      <c r="G216" t="s">
        <v>790</v>
      </c>
      <c r="H216" s="12" t="s">
        <v>905</v>
      </c>
      <c r="I216" t="s">
        <v>390</v>
      </c>
      <c r="K216" t="s">
        <v>170</v>
      </c>
      <c r="M216" t="s">
        <v>347</v>
      </c>
      <c r="O216" t="s">
        <v>392</v>
      </c>
      <c r="Q216" t="s">
        <v>391</v>
      </c>
    </row>
    <row r="217" spans="1:22" x14ac:dyDescent="0.25">
      <c r="A217">
        <v>15</v>
      </c>
      <c r="B217" t="s">
        <v>542</v>
      </c>
      <c r="C217" t="s">
        <v>543</v>
      </c>
      <c r="D217" t="s">
        <v>544</v>
      </c>
      <c r="E217" t="s">
        <v>562</v>
      </c>
      <c r="F217" t="s">
        <v>738</v>
      </c>
      <c r="G217" t="s">
        <v>790</v>
      </c>
      <c r="H217" s="12" t="s">
        <v>905</v>
      </c>
      <c r="I217" t="s">
        <v>563</v>
      </c>
      <c r="K217" t="s">
        <v>564</v>
      </c>
      <c r="M217" t="s">
        <v>347</v>
      </c>
      <c r="O217" t="s">
        <v>330</v>
      </c>
    </row>
    <row r="218" spans="1:22" x14ac:dyDescent="0.25">
      <c r="A218">
        <v>19</v>
      </c>
      <c r="B218" t="s">
        <v>613</v>
      </c>
      <c r="C218" t="s">
        <v>614</v>
      </c>
      <c r="D218" t="s">
        <v>615</v>
      </c>
      <c r="E218" t="s">
        <v>616</v>
      </c>
      <c r="F218" t="s">
        <v>740</v>
      </c>
      <c r="G218" t="s">
        <v>790</v>
      </c>
      <c r="H218" s="12" t="s">
        <v>905</v>
      </c>
      <c r="I218" t="s">
        <v>617</v>
      </c>
      <c r="K218" t="s">
        <v>176</v>
      </c>
      <c r="O218" t="s">
        <v>618</v>
      </c>
      <c r="P218" t="s">
        <v>619</v>
      </c>
    </row>
    <row r="219" spans="1:22" x14ac:dyDescent="0.25">
      <c r="A219">
        <v>14</v>
      </c>
      <c r="B219" t="s">
        <v>400</v>
      </c>
      <c r="C219" t="s">
        <v>313</v>
      </c>
      <c r="D219" t="s">
        <v>401</v>
      </c>
      <c r="E219" t="s">
        <v>402</v>
      </c>
      <c r="F219" t="s">
        <v>27</v>
      </c>
      <c r="G219" t="s">
        <v>790</v>
      </c>
      <c r="H219" s="12" t="s">
        <v>905</v>
      </c>
      <c r="I219" t="s">
        <v>511</v>
      </c>
      <c r="J219" t="s">
        <v>514</v>
      </c>
      <c r="K219" t="s">
        <v>33</v>
      </c>
      <c r="M219" t="s">
        <v>347</v>
      </c>
      <c r="N219" t="s">
        <v>347</v>
      </c>
      <c r="O219" t="s">
        <v>445</v>
      </c>
      <c r="R219" t="s">
        <v>516</v>
      </c>
      <c r="S219" t="s">
        <v>497</v>
      </c>
    </row>
    <row r="220" spans="1:22" x14ac:dyDescent="0.25">
      <c r="A220">
        <v>4</v>
      </c>
      <c r="B220" t="s">
        <v>70</v>
      </c>
      <c r="C220" t="s">
        <v>57</v>
      </c>
      <c r="D220" t="s">
        <v>71</v>
      </c>
      <c r="E220" t="s">
        <v>24</v>
      </c>
      <c r="F220" t="s">
        <v>27</v>
      </c>
      <c r="G220" t="s">
        <v>790</v>
      </c>
      <c r="H220" s="12" t="s">
        <v>906</v>
      </c>
      <c r="I220" t="s">
        <v>79</v>
      </c>
      <c r="J220" t="s">
        <v>75</v>
      </c>
      <c r="V220" t="s">
        <v>80</v>
      </c>
    </row>
    <row r="221" spans="1:22" x14ac:dyDescent="0.25">
      <c r="A221">
        <v>6</v>
      </c>
      <c r="B221" t="s">
        <v>112</v>
      </c>
      <c r="C221" t="s">
        <v>57</v>
      </c>
      <c r="D221" t="s">
        <v>113</v>
      </c>
      <c r="E221" t="s">
        <v>24</v>
      </c>
      <c r="F221" t="s">
        <v>722</v>
      </c>
      <c r="G221" t="s">
        <v>790</v>
      </c>
      <c r="H221" s="12" t="s">
        <v>906</v>
      </c>
      <c r="I221" t="s">
        <v>128</v>
      </c>
      <c r="J221" t="s">
        <v>127</v>
      </c>
      <c r="K221" t="s">
        <v>129</v>
      </c>
      <c r="L221" t="s">
        <v>123</v>
      </c>
    </row>
    <row r="222" spans="1:22" x14ac:dyDescent="0.25">
      <c r="A222">
        <v>8</v>
      </c>
      <c r="B222" t="s">
        <v>157</v>
      </c>
      <c r="C222" t="s">
        <v>57</v>
      </c>
      <c r="D222" t="s">
        <v>158</v>
      </c>
      <c r="E222" t="s">
        <v>159</v>
      </c>
      <c r="F222" t="s">
        <v>715</v>
      </c>
      <c r="G222" t="s">
        <v>790</v>
      </c>
      <c r="H222" s="12" t="s">
        <v>906</v>
      </c>
      <c r="I222" t="s">
        <v>190</v>
      </c>
      <c r="J222" t="s">
        <v>182</v>
      </c>
      <c r="K222" t="s">
        <v>192</v>
      </c>
      <c r="M222" t="s">
        <v>193</v>
      </c>
      <c r="O222" t="s">
        <v>191</v>
      </c>
      <c r="S222" t="s">
        <v>27</v>
      </c>
    </row>
    <row r="223" spans="1:22" x14ac:dyDescent="0.25">
      <c r="A223">
        <v>13</v>
      </c>
      <c r="B223" t="s">
        <v>335</v>
      </c>
      <c r="C223" t="s">
        <v>313</v>
      </c>
      <c r="D223" t="s">
        <v>336</v>
      </c>
      <c r="E223" t="s">
        <v>59</v>
      </c>
      <c r="F223" t="s">
        <v>737</v>
      </c>
      <c r="G223" t="s">
        <v>790</v>
      </c>
      <c r="H223" s="12" t="s">
        <v>906</v>
      </c>
      <c r="I223" t="s">
        <v>795</v>
      </c>
      <c r="K223" t="s">
        <v>343</v>
      </c>
      <c r="M223" t="s">
        <v>342</v>
      </c>
    </row>
    <row r="224" spans="1:22" x14ac:dyDescent="0.25">
      <c r="A224">
        <v>13</v>
      </c>
      <c r="B224" t="s">
        <v>335</v>
      </c>
      <c r="C224" t="s">
        <v>313</v>
      </c>
      <c r="D224" t="s">
        <v>336</v>
      </c>
      <c r="E224" t="s">
        <v>59</v>
      </c>
      <c r="F224" t="s">
        <v>737</v>
      </c>
      <c r="G224" t="s">
        <v>790</v>
      </c>
      <c r="H224" s="12" t="s">
        <v>906</v>
      </c>
      <c r="I224" t="s">
        <v>797</v>
      </c>
      <c r="K224">
        <v>2</v>
      </c>
      <c r="M224" t="s">
        <v>345</v>
      </c>
    </row>
    <row r="225" spans="1:20" x14ac:dyDescent="0.25">
      <c r="A225">
        <v>13</v>
      </c>
      <c r="B225" t="s">
        <v>335</v>
      </c>
      <c r="C225" t="s">
        <v>313</v>
      </c>
      <c r="D225" t="s">
        <v>336</v>
      </c>
      <c r="E225" t="s">
        <v>59</v>
      </c>
      <c r="F225" t="s">
        <v>737</v>
      </c>
      <c r="G225" t="s">
        <v>790</v>
      </c>
      <c r="H225" s="12" t="s">
        <v>906</v>
      </c>
      <c r="I225" t="s">
        <v>798</v>
      </c>
      <c r="K225">
        <v>2</v>
      </c>
      <c r="M225" t="s">
        <v>347</v>
      </c>
    </row>
    <row r="226" spans="1:20" x14ac:dyDescent="0.25">
      <c r="A226">
        <v>13</v>
      </c>
      <c r="B226" t="s">
        <v>335</v>
      </c>
      <c r="C226" t="s">
        <v>313</v>
      </c>
      <c r="D226" t="s">
        <v>336</v>
      </c>
      <c r="E226" t="s">
        <v>59</v>
      </c>
      <c r="F226" t="s">
        <v>737</v>
      </c>
      <c r="G226" t="s">
        <v>790</v>
      </c>
      <c r="H226" s="12" t="s">
        <v>906</v>
      </c>
      <c r="I226" t="s">
        <v>795</v>
      </c>
      <c r="K226" t="s">
        <v>351</v>
      </c>
      <c r="M226" t="s">
        <v>347</v>
      </c>
    </row>
    <row r="227" spans="1:20" x14ac:dyDescent="0.25">
      <c r="A227">
        <v>13</v>
      </c>
      <c r="B227" t="s">
        <v>335</v>
      </c>
      <c r="C227" t="s">
        <v>313</v>
      </c>
      <c r="D227" t="s">
        <v>336</v>
      </c>
      <c r="E227" t="s">
        <v>59</v>
      </c>
      <c r="F227" t="s">
        <v>737</v>
      </c>
      <c r="G227" t="s">
        <v>790</v>
      </c>
      <c r="H227" s="12" t="s">
        <v>906</v>
      </c>
      <c r="I227" t="s">
        <v>356</v>
      </c>
      <c r="J227" t="s">
        <v>369</v>
      </c>
      <c r="K227" t="s">
        <v>370</v>
      </c>
      <c r="M227" t="s">
        <v>709</v>
      </c>
    </row>
    <row r="228" spans="1:20" x14ac:dyDescent="0.25">
      <c r="A228">
        <v>13</v>
      </c>
      <c r="B228" t="s">
        <v>335</v>
      </c>
      <c r="C228" t="s">
        <v>313</v>
      </c>
      <c r="D228" t="s">
        <v>336</v>
      </c>
      <c r="E228" t="s">
        <v>59</v>
      </c>
      <c r="F228" t="s">
        <v>737</v>
      </c>
      <c r="G228" t="s">
        <v>790</v>
      </c>
      <c r="H228" s="12" t="s">
        <v>906</v>
      </c>
      <c r="I228" t="s">
        <v>367</v>
      </c>
      <c r="J228" t="s">
        <v>369</v>
      </c>
      <c r="K228">
        <v>5</v>
      </c>
      <c r="M228" t="s">
        <v>359</v>
      </c>
    </row>
    <row r="229" spans="1:20" x14ac:dyDescent="0.25">
      <c r="A229">
        <v>13</v>
      </c>
      <c r="B229" t="s">
        <v>335</v>
      </c>
      <c r="C229" t="s">
        <v>313</v>
      </c>
      <c r="D229" t="s">
        <v>336</v>
      </c>
      <c r="E229" t="s">
        <v>59</v>
      </c>
      <c r="F229" t="s">
        <v>737</v>
      </c>
      <c r="G229" t="s">
        <v>790</v>
      </c>
      <c r="H229" s="12" t="s">
        <v>906</v>
      </c>
      <c r="I229" t="s">
        <v>358</v>
      </c>
      <c r="J229" t="s">
        <v>369</v>
      </c>
      <c r="K229" t="s">
        <v>368</v>
      </c>
      <c r="M229" t="s">
        <v>359</v>
      </c>
    </row>
    <row r="230" spans="1:20" x14ac:dyDescent="0.25">
      <c r="A230">
        <v>13</v>
      </c>
      <c r="B230" t="s">
        <v>335</v>
      </c>
      <c r="C230" t="s">
        <v>313</v>
      </c>
      <c r="D230" t="s">
        <v>336</v>
      </c>
      <c r="E230" t="s">
        <v>59</v>
      </c>
      <c r="F230" t="s">
        <v>737</v>
      </c>
      <c r="G230" t="s">
        <v>790</v>
      </c>
      <c r="H230" s="12" t="s">
        <v>906</v>
      </c>
      <c r="I230" t="s">
        <v>365</v>
      </c>
      <c r="J230" t="s">
        <v>369</v>
      </c>
      <c r="K230" t="s">
        <v>371</v>
      </c>
      <c r="M230" t="s">
        <v>362</v>
      </c>
    </row>
    <row r="231" spans="1:20" x14ac:dyDescent="0.25">
      <c r="A231">
        <v>13</v>
      </c>
      <c r="B231" t="s">
        <v>335</v>
      </c>
      <c r="C231" t="s">
        <v>313</v>
      </c>
      <c r="D231" t="s">
        <v>336</v>
      </c>
      <c r="E231" t="s">
        <v>59</v>
      </c>
      <c r="F231" t="s">
        <v>737</v>
      </c>
      <c r="G231" t="s">
        <v>790</v>
      </c>
      <c r="H231" s="12" t="s">
        <v>906</v>
      </c>
      <c r="I231" t="s">
        <v>372</v>
      </c>
      <c r="J231" t="s">
        <v>369</v>
      </c>
      <c r="K231">
        <v>5</v>
      </c>
      <c r="M231" t="s">
        <v>362</v>
      </c>
    </row>
    <row r="232" spans="1:20" x14ac:dyDescent="0.25">
      <c r="A232">
        <v>6</v>
      </c>
      <c r="B232" t="s">
        <v>112</v>
      </c>
      <c r="C232" t="s">
        <v>57</v>
      </c>
      <c r="D232" t="s">
        <v>113</v>
      </c>
      <c r="E232" t="s">
        <v>24</v>
      </c>
      <c r="F232" t="s">
        <v>722</v>
      </c>
      <c r="G232" t="s">
        <v>790</v>
      </c>
      <c r="H232" s="12" t="s">
        <v>907</v>
      </c>
      <c r="I232" t="s">
        <v>135</v>
      </c>
      <c r="J232" t="s">
        <v>130</v>
      </c>
      <c r="K232" t="s">
        <v>136</v>
      </c>
      <c r="L232" t="s">
        <v>123</v>
      </c>
    </row>
    <row r="233" spans="1:20" x14ac:dyDescent="0.25">
      <c r="A233">
        <v>8</v>
      </c>
      <c r="B233" t="s">
        <v>157</v>
      </c>
      <c r="C233" t="s">
        <v>57</v>
      </c>
      <c r="D233" t="s">
        <v>158</v>
      </c>
      <c r="E233" t="s">
        <v>159</v>
      </c>
      <c r="F233" t="s">
        <v>715</v>
      </c>
      <c r="G233" t="s">
        <v>790</v>
      </c>
      <c r="H233" s="12" t="s">
        <v>907</v>
      </c>
      <c r="I233" t="s">
        <v>215</v>
      </c>
      <c r="J233" t="s">
        <v>214</v>
      </c>
      <c r="K233" t="s">
        <v>217</v>
      </c>
      <c r="M233" t="s">
        <v>193</v>
      </c>
      <c r="O233" t="s">
        <v>216</v>
      </c>
      <c r="S233">
        <v>480</v>
      </c>
    </row>
    <row r="234" spans="1:20" x14ac:dyDescent="0.25">
      <c r="A234">
        <v>8</v>
      </c>
      <c r="B234" t="s">
        <v>157</v>
      </c>
      <c r="C234" t="s">
        <v>57</v>
      </c>
      <c r="D234" t="s">
        <v>158</v>
      </c>
      <c r="E234" t="s">
        <v>159</v>
      </c>
      <c r="F234" t="s">
        <v>715</v>
      </c>
      <c r="G234" t="s">
        <v>790</v>
      </c>
      <c r="H234" s="12" t="s">
        <v>907</v>
      </c>
      <c r="I234" t="s">
        <v>218</v>
      </c>
      <c r="J234" t="s">
        <v>214</v>
      </c>
      <c r="K234" t="s">
        <v>142</v>
      </c>
      <c r="M234" t="s">
        <v>193</v>
      </c>
      <c r="O234" t="s">
        <v>196</v>
      </c>
      <c r="S234">
        <v>10</v>
      </c>
    </row>
    <row r="235" spans="1:20" x14ac:dyDescent="0.25">
      <c r="A235">
        <v>8</v>
      </c>
      <c r="B235" t="s">
        <v>157</v>
      </c>
      <c r="C235" t="s">
        <v>57</v>
      </c>
      <c r="D235" t="s">
        <v>158</v>
      </c>
      <c r="E235" t="s">
        <v>159</v>
      </c>
      <c r="F235" t="s">
        <v>715</v>
      </c>
      <c r="G235" t="s">
        <v>790</v>
      </c>
      <c r="H235" s="12" t="s">
        <v>907</v>
      </c>
      <c r="I235" t="s">
        <v>219</v>
      </c>
      <c r="J235" t="s">
        <v>214</v>
      </c>
      <c r="K235" t="s">
        <v>142</v>
      </c>
      <c r="M235" t="s">
        <v>189</v>
      </c>
      <c r="O235" t="s">
        <v>196</v>
      </c>
      <c r="S235">
        <v>10</v>
      </c>
    </row>
    <row r="236" spans="1:20" x14ac:dyDescent="0.25">
      <c r="A236">
        <v>8</v>
      </c>
      <c r="B236" t="s">
        <v>157</v>
      </c>
      <c r="C236" t="s">
        <v>57</v>
      </c>
      <c r="D236" t="s">
        <v>158</v>
      </c>
      <c r="E236" t="s">
        <v>159</v>
      </c>
      <c r="F236" t="s">
        <v>715</v>
      </c>
      <c r="G236" t="s">
        <v>790</v>
      </c>
      <c r="H236" s="12" t="s">
        <v>907</v>
      </c>
      <c r="I236" t="s">
        <v>220</v>
      </c>
      <c r="J236" t="s">
        <v>214</v>
      </c>
      <c r="K236" t="s">
        <v>176</v>
      </c>
      <c r="M236" t="s">
        <v>173</v>
      </c>
      <c r="O236" t="s">
        <v>196</v>
      </c>
      <c r="S236">
        <v>10</v>
      </c>
    </row>
    <row r="237" spans="1:20" x14ac:dyDescent="0.25">
      <c r="A237">
        <v>8</v>
      </c>
      <c r="B237" t="s">
        <v>157</v>
      </c>
      <c r="C237" t="s">
        <v>57</v>
      </c>
      <c r="D237" t="s">
        <v>158</v>
      </c>
      <c r="E237" t="s">
        <v>159</v>
      </c>
      <c r="F237" t="s">
        <v>715</v>
      </c>
      <c r="G237" t="s">
        <v>790</v>
      </c>
      <c r="H237" s="12" t="s">
        <v>907</v>
      </c>
      <c r="I237" t="s">
        <v>221</v>
      </c>
      <c r="J237" t="s">
        <v>214</v>
      </c>
      <c r="K237" t="s">
        <v>176</v>
      </c>
      <c r="M237" t="s">
        <v>173</v>
      </c>
      <c r="O237" t="s">
        <v>196</v>
      </c>
      <c r="S237">
        <v>10</v>
      </c>
    </row>
    <row r="238" spans="1:20" x14ac:dyDescent="0.25">
      <c r="A238">
        <v>13</v>
      </c>
      <c r="B238" t="s">
        <v>335</v>
      </c>
      <c r="C238" t="s">
        <v>313</v>
      </c>
      <c r="D238" t="s">
        <v>336</v>
      </c>
      <c r="E238" t="s">
        <v>337</v>
      </c>
      <c r="F238" t="s">
        <v>27</v>
      </c>
      <c r="G238" t="s">
        <v>790</v>
      </c>
      <c r="H238" s="12" t="s">
        <v>907</v>
      </c>
      <c r="I238" t="s">
        <v>393</v>
      </c>
      <c r="K238" t="s">
        <v>33</v>
      </c>
      <c r="M238" t="s">
        <v>347</v>
      </c>
      <c r="O238" t="s">
        <v>392</v>
      </c>
      <c r="Q238" t="s">
        <v>394</v>
      </c>
    </row>
    <row r="239" spans="1:20" x14ac:dyDescent="0.25">
      <c r="A239">
        <v>12</v>
      </c>
      <c r="B239" t="s">
        <v>312</v>
      </c>
      <c r="C239" t="s">
        <v>313</v>
      </c>
      <c r="D239" t="s">
        <v>314</v>
      </c>
      <c r="E239" t="s">
        <v>315</v>
      </c>
      <c r="F239" t="s">
        <v>316</v>
      </c>
      <c r="G239" t="s">
        <v>790</v>
      </c>
      <c r="H239" s="12" t="s">
        <v>907</v>
      </c>
      <c r="I239" t="s">
        <v>317</v>
      </c>
      <c r="K239" t="s">
        <v>163</v>
      </c>
      <c r="O239" t="s">
        <v>784</v>
      </c>
      <c r="T239" t="s">
        <v>320</v>
      </c>
    </row>
    <row r="240" spans="1:20" x14ac:dyDescent="0.25">
      <c r="A240">
        <v>12</v>
      </c>
      <c r="B240" t="s">
        <v>312</v>
      </c>
      <c r="C240" t="s">
        <v>313</v>
      </c>
      <c r="D240" t="s">
        <v>314</v>
      </c>
      <c r="E240" t="s">
        <v>315</v>
      </c>
      <c r="F240" t="s">
        <v>316</v>
      </c>
      <c r="G240" t="s">
        <v>790</v>
      </c>
      <c r="H240" s="12" t="s">
        <v>907</v>
      </c>
      <c r="I240" t="s">
        <v>321</v>
      </c>
      <c r="K240" t="s">
        <v>181</v>
      </c>
      <c r="O240" t="s">
        <v>784</v>
      </c>
      <c r="T240" t="s">
        <v>320</v>
      </c>
    </row>
    <row r="241" spans="1:28" x14ac:dyDescent="0.25">
      <c r="A241">
        <v>12</v>
      </c>
      <c r="B241" t="s">
        <v>312</v>
      </c>
      <c r="C241" t="s">
        <v>313</v>
      </c>
      <c r="D241" t="s">
        <v>314</v>
      </c>
      <c r="E241" t="s">
        <v>315</v>
      </c>
      <c r="F241" t="s">
        <v>316</v>
      </c>
      <c r="G241" t="s">
        <v>790</v>
      </c>
      <c r="H241" s="12" t="s">
        <v>907</v>
      </c>
      <c r="I241" t="s">
        <v>324</v>
      </c>
      <c r="K241" t="s">
        <v>783</v>
      </c>
      <c r="O241" t="s">
        <v>629</v>
      </c>
      <c r="T241" t="s">
        <v>327</v>
      </c>
    </row>
    <row r="242" spans="1:28" x14ac:dyDescent="0.25">
      <c r="A242">
        <v>12</v>
      </c>
      <c r="B242" t="s">
        <v>312</v>
      </c>
      <c r="C242" t="s">
        <v>313</v>
      </c>
      <c r="D242" t="s">
        <v>314</v>
      </c>
      <c r="E242" t="s">
        <v>315</v>
      </c>
      <c r="F242" t="s">
        <v>316</v>
      </c>
      <c r="G242" t="s">
        <v>790</v>
      </c>
      <c r="H242" s="12" t="s">
        <v>907</v>
      </c>
      <c r="I242" t="s">
        <v>328</v>
      </c>
      <c r="K242" t="s">
        <v>35</v>
      </c>
      <c r="O242" t="s">
        <v>629</v>
      </c>
      <c r="T242" t="s">
        <v>330</v>
      </c>
    </row>
    <row r="243" spans="1:28" x14ac:dyDescent="0.25">
      <c r="A243">
        <v>13</v>
      </c>
      <c r="B243" t="s">
        <v>335</v>
      </c>
      <c r="C243" t="s">
        <v>313</v>
      </c>
      <c r="D243" t="s">
        <v>336</v>
      </c>
      <c r="E243" t="s">
        <v>337</v>
      </c>
      <c r="F243" t="s">
        <v>27</v>
      </c>
      <c r="G243" t="s">
        <v>790</v>
      </c>
      <c r="H243" s="12" t="s">
        <v>907</v>
      </c>
      <c r="I243" t="s">
        <v>802</v>
      </c>
      <c r="K243" t="s">
        <v>381</v>
      </c>
      <c r="M243">
        <v>99</v>
      </c>
      <c r="O243" t="s">
        <v>383</v>
      </c>
      <c r="Q243" t="s">
        <v>382</v>
      </c>
      <c r="Y243" t="s">
        <v>4</v>
      </c>
      <c r="Z243" t="s">
        <v>850</v>
      </c>
      <c r="AA243" t="s">
        <v>1214</v>
      </c>
      <c r="AB243" t="s">
        <v>1215</v>
      </c>
    </row>
    <row r="244" spans="1:28" x14ac:dyDescent="0.25">
      <c r="Y244" s="23" t="s">
        <v>788</v>
      </c>
      <c r="Z244" t="s">
        <v>875</v>
      </c>
      <c r="AA244">
        <f>COUNTIF(H:H,Z244)</f>
        <v>4</v>
      </c>
      <c r="AB244">
        <f>COUNT(A74:A150)</f>
        <v>77</v>
      </c>
    </row>
    <row r="245" spans="1:28" x14ac:dyDescent="0.25">
      <c r="Z245" t="s">
        <v>876</v>
      </c>
      <c r="AA245">
        <f>COUNTIF(H:H,Z245)</f>
        <v>17</v>
      </c>
    </row>
    <row r="246" spans="1:28" x14ac:dyDescent="0.25">
      <c r="Z246" t="s">
        <v>873</v>
      </c>
      <c r="AA246">
        <f t="shared" ref="AA246:AA248" si="0">COUNTIF(H:H,Z246)</f>
        <v>16</v>
      </c>
    </row>
    <row r="247" spans="1:28" x14ac:dyDescent="0.25">
      <c r="Z247" t="s">
        <v>874</v>
      </c>
      <c r="AA247">
        <f t="shared" si="0"/>
        <v>15</v>
      </c>
    </row>
    <row r="248" spans="1:28" x14ac:dyDescent="0.25">
      <c r="Z248" t="s">
        <v>872</v>
      </c>
      <c r="AA248">
        <f t="shared" si="0"/>
        <v>24</v>
      </c>
    </row>
    <row r="249" spans="1:28" x14ac:dyDescent="0.25">
      <c r="Z249" t="s">
        <v>756</v>
      </c>
      <c r="AA249">
        <v>1</v>
      </c>
    </row>
    <row r="251" spans="1:28" x14ac:dyDescent="0.25">
      <c r="Y251" t="s">
        <v>790</v>
      </c>
      <c r="Z251" t="s">
        <v>905</v>
      </c>
      <c r="AA251">
        <f>COUNTIF(H:H,Z251)</f>
        <v>22</v>
      </c>
      <c r="AB251">
        <f>COUNT(A198:A243)</f>
        <v>46</v>
      </c>
    </row>
    <row r="252" spans="1:28" x14ac:dyDescent="0.25">
      <c r="Z252" t="s">
        <v>906</v>
      </c>
      <c r="AA252">
        <f>COUNTIF(H:H,Z252)</f>
        <v>12</v>
      </c>
    </row>
    <row r="253" spans="1:28" x14ac:dyDescent="0.25">
      <c r="Z253" t="s">
        <v>907</v>
      </c>
      <c r="AA253">
        <f>COUNTIF(H:H,Z253)</f>
        <v>12</v>
      </c>
    </row>
    <row r="255" spans="1:28" x14ac:dyDescent="0.25">
      <c r="Y255" t="s">
        <v>789</v>
      </c>
      <c r="Z255" t="s">
        <v>890</v>
      </c>
      <c r="AA255">
        <f>COUNTIF(H:H,Z255)</f>
        <v>4</v>
      </c>
      <c r="AB255">
        <f>COUNT(A152:A196)</f>
        <v>45</v>
      </c>
    </row>
    <row r="256" spans="1:28" x14ac:dyDescent="0.25">
      <c r="Z256" t="s">
        <v>891</v>
      </c>
      <c r="AA256">
        <f>COUNTIF(H:H,Z256)</f>
        <v>9</v>
      </c>
    </row>
    <row r="257" spans="24:28" x14ac:dyDescent="0.25">
      <c r="Z257" t="s">
        <v>893</v>
      </c>
      <c r="AA257">
        <f>COUNTIF(H:H,Z257)</f>
        <v>17</v>
      </c>
    </row>
    <row r="258" spans="24:28" x14ac:dyDescent="0.25">
      <c r="Z258" t="s">
        <v>894</v>
      </c>
      <c r="AA258">
        <f>COUNTIF(H:H,Z258)</f>
        <v>10</v>
      </c>
    </row>
    <row r="259" spans="24:28" x14ac:dyDescent="0.25">
      <c r="Z259" t="s">
        <v>892</v>
      </c>
      <c r="AA259">
        <f>COUNTIF(H:H,Z259)</f>
        <v>5</v>
      </c>
    </row>
    <row r="261" spans="24:28" x14ac:dyDescent="0.25">
      <c r="Y261" t="s">
        <v>744</v>
      </c>
      <c r="Z261" t="s">
        <v>867</v>
      </c>
      <c r="AA261">
        <f>COUNTIF(H:H,Z261)</f>
        <v>18</v>
      </c>
      <c r="AB261">
        <f>COUNT(A51:A72)</f>
        <v>22</v>
      </c>
    </row>
    <row r="262" spans="24:28" x14ac:dyDescent="0.25">
      <c r="Z262" t="s">
        <v>865</v>
      </c>
      <c r="AA262">
        <f>COUNTIF(H:H,Z262)</f>
        <v>4</v>
      </c>
    </row>
    <row r="264" spans="24:28" x14ac:dyDescent="0.25">
      <c r="X264" s="12"/>
      <c r="Y264" t="s">
        <v>786</v>
      </c>
      <c r="Z264" t="s">
        <v>847</v>
      </c>
      <c r="AA264">
        <f>COUNTIF(H:H,Z264)</f>
        <v>4</v>
      </c>
      <c r="AB264">
        <f>COUNT(A8:A29)</f>
        <v>22</v>
      </c>
    </row>
    <row r="265" spans="24:28" x14ac:dyDescent="0.25">
      <c r="X265" s="12"/>
      <c r="Z265" t="s">
        <v>846</v>
      </c>
      <c r="AA265">
        <f>COUNTIF(H:H,Z265)</f>
        <v>14</v>
      </c>
    </row>
    <row r="266" spans="24:28" x14ac:dyDescent="0.25">
      <c r="X266" s="12"/>
      <c r="Z266" t="s">
        <v>849</v>
      </c>
      <c r="AA266">
        <f>COUNTIF(H:H,Z266)</f>
        <v>4</v>
      </c>
    </row>
    <row r="268" spans="24:28" x14ac:dyDescent="0.25">
      <c r="X268" s="12"/>
      <c r="Y268" t="s">
        <v>785</v>
      </c>
      <c r="Z268" t="s">
        <v>860</v>
      </c>
      <c r="AA268">
        <f>COUNTIF(H:H,Z268)</f>
        <v>4</v>
      </c>
      <c r="AB268">
        <f>COUNT(A31:A49)</f>
        <v>19</v>
      </c>
    </row>
    <row r="269" spans="24:28" x14ac:dyDescent="0.25">
      <c r="X269" s="12"/>
      <c r="Z269" t="s">
        <v>859</v>
      </c>
      <c r="AA269">
        <f>COUNTIF(H:H,Z269)</f>
        <v>3</v>
      </c>
    </row>
    <row r="270" spans="24:28" x14ac:dyDescent="0.25">
      <c r="X270" s="12"/>
      <c r="Z270" t="s">
        <v>858</v>
      </c>
      <c r="AA270">
        <f>COUNTIF(H:H,Z270)</f>
        <v>12</v>
      </c>
    </row>
    <row r="272" spans="24:28" x14ac:dyDescent="0.25">
      <c r="X272" s="12"/>
      <c r="Y272" t="s">
        <v>787</v>
      </c>
      <c r="Z272" t="s">
        <v>1216</v>
      </c>
      <c r="AA272">
        <v>5</v>
      </c>
      <c r="AB272">
        <f>COUNT(A2:A6)</f>
        <v>5</v>
      </c>
    </row>
    <row r="273" spans="23:24" x14ac:dyDescent="0.25">
      <c r="X273" s="12"/>
    </row>
    <row r="275" spans="23:24" x14ac:dyDescent="0.25">
      <c r="X275" s="12"/>
    </row>
    <row r="276" spans="23:24" x14ac:dyDescent="0.25">
      <c r="X276" s="12"/>
    </row>
    <row r="277" spans="23:24" x14ac:dyDescent="0.25">
      <c r="X277" s="12"/>
    </row>
    <row r="278" spans="23:24" x14ac:dyDescent="0.25">
      <c r="W278" s="23"/>
      <c r="X278" s="12"/>
    </row>
    <row r="279" spans="23:24" x14ac:dyDescent="0.25">
      <c r="W279" s="23"/>
      <c r="X279" s="12"/>
    </row>
    <row r="281" spans="23:24" x14ac:dyDescent="0.25">
      <c r="X281" s="12"/>
    </row>
    <row r="282" spans="23:24" x14ac:dyDescent="0.25">
      <c r="X282" s="12"/>
    </row>
    <row r="283" spans="23:24" x14ac:dyDescent="0.25">
      <c r="X283" s="12"/>
    </row>
    <row r="284" spans="23:24" x14ac:dyDescent="0.25">
      <c r="X284" s="12"/>
    </row>
    <row r="286" spans="23:24" x14ac:dyDescent="0.25">
      <c r="X286" s="12"/>
    </row>
    <row r="287" spans="23:24" x14ac:dyDescent="0.25">
      <c r="X287" s="12"/>
    </row>
    <row r="288" spans="23:24" x14ac:dyDescent="0.25">
      <c r="X288" s="12"/>
    </row>
  </sheetData>
  <sortState xmlns:xlrd2="http://schemas.microsoft.com/office/spreadsheetml/2017/richdata2" ref="A51:W72">
    <sortCondition ref="H51:H72"/>
  </sortState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A90F-EF68-4AAA-BB69-5A8C6E83ADC1}">
  <dimension ref="A1:V242"/>
  <sheetViews>
    <sheetView topLeftCell="B1" zoomScaleNormal="100" workbookViewId="0">
      <pane ySplit="1" topLeftCell="A2" activePane="bottomLeft" state="frozen"/>
      <selection pane="bottomLeft" activeCell="D100" sqref="D100"/>
    </sheetView>
  </sheetViews>
  <sheetFormatPr defaultRowHeight="15" customHeight="1" x14ac:dyDescent="0.25"/>
  <cols>
    <col min="1" max="1" width="3.42578125" customWidth="1"/>
    <col min="2" max="2" width="8.5703125" customWidth="1"/>
    <col min="3" max="3" width="5.140625" customWidth="1"/>
    <col min="4" max="4" width="15.7109375" customWidth="1"/>
    <col min="5" max="6" width="10.85546875" customWidth="1"/>
    <col min="7" max="7" width="18" customWidth="1"/>
    <col min="8" max="8" width="41.7109375" customWidth="1"/>
    <col min="9" max="9" width="41.28515625" style="15" customWidth="1"/>
    <col min="10" max="10" width="37.85546875" style="15" customWidth="1"/>
    <col min="11" max="22" width="15.7109375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730</v>
      </c>
      <c r="F1" s="1" t="s">
        <v>736</v>
      </c>
      <c r="G1" s="1" t="s">
        <v>4</v>
      </c>
      <c r="H1" s="1" t="s">
        <v>850</v>
      </c>
      <c r="I1" s="27"/>
      <c r="J1" s="27"/>
      <c r="K1" s="1" t="s">
        <v>635</v>
      </c>
      <c r="M1" s="1" t="s">
        <v>332</v>
      </c>
      <c r="O1" s="1" t="s">
        <v>561</v>
      </c>
      <c r="Q1" s="1" t="s">
        <v>1030</v>
      </c>
      <c r="R1" s="1" t="s">
        <v>705</v>
      </c>
      <c r="T1" s="1" t="s">
        <v>311</v>
      </c>
      <c r="V1" s="1" t="s">
        <v>756</v>
      </c>
    </row>
    <row r="2" spans="1:22" s="6" customFormat="1" ht="15" customHeight="1" x14ac:dyDescent="0.25">
      <c r="A2" s="6">
        <v>14</v>
      </c>
      <c r="B2" s="6" t="s">
        <v>400</v>
      </c>
      <c r="C2" s="6" t="s">
        <v>313</v>
      </c>
      <c r="D2" s="6" t="s">
        <v>401</v>
      </c>
      <c r="E2" s="6" t="s">
        <v>402</v>
      </c>
      <c r="F2" s="6" t="s">
        <v>27</v>
      </c>
      <c r="G2" s="6" t="s">
        <v>787</v>
      </c>
      <c r="H2" s="6" t="s">
        <v>823</v>
      </c>
      <c r="I2" s="36" t="s">
        <v>498</v>
      </c>
      <c r="J2" s="36" t="s">
        <v>502</v>
      </c>
      <c r="K2" s="6" t="s">
        <v>917</v>
      </c>
      <c r="M2" s="6">
        <v>99</v>
      </c>
      <c r="N2" s="6">
        <v>90</v>
      </c>
      <c r="O2" s="6" t="s">
        <v>992</v>
      </c>
      <c r="R2" s="6" t="s">
        <v>508</v>
      </c>
      <c r="S2" s="6" t="s">
        <v>509</v>
      </c>
    </row>
    <row r="3" spans="1:22" s="6" customFormat="1" ht="15" customHeight="1" x14ac:dyDescent="0.25">
      <c r="A3" s="6">
        <v>14</v>
      </c>
      <c r="B3" s="6" t="s">
        <v>400</v>
      </c>
      <c r="C3" s="6" t="s">
        <v>313</v>
      </c>
      <c r="D3" s="6" t="s">
        <v>401</v>
      </c>
      <c r="E3" s="6" t="s">
        <v>402</v>
      </c>
      <c r="F3" s="6" t="s">
        <v>27</v>
      </c>
      <c r="G3" s="6" t="s">
        <v>787</v>
      </c>
      <c r="H3" s="6" t="s">
        <v>824</v>
      </c>
      <c r="I3" s="36" t="s">
        <v>499</v>
      </c>
      <c r="J3" s="36" t="s">
        <v>502</v>
      </c>
      <c r="K3" s="6" t="s">
        <v>918</v>
      </c>
      <c r="M3" s="6" t="s">
        <v>362</v>
      </c>
      <c r="N3" s="6">
        <v>99</v>
      </c>
      <c r="O3" s="6">
        <v>10</v>
      </c>
      <c r="R3" s="6" t="s">
        <v>508</v>
      </c>
      <c r="S3" s="6" t="s">
        <v>420</v>
      </c>
    </row>
    <row r="4" spans="1:22" s="6" customFormat="1" ht="15" customHeight="1" x14ac:dyDescent="0.25">
      <c r="A4" s="6">
        <v>14</v>
      </c>
      <c r="B4" s="6" t="s">
        <v>400</v>
      </c>
      <c r="C4" s="6" t="s">
        <v>313</v>
      </c>
      <c r="D4" s="6" t="s">
        <v>401</v>
      </c>
      <c r="E4" s="6" t="s">
        <v>402</v>
      </c>
      <c r="F4" s="6" t="s">
        <v>27</v>
      </c>
      <c r="G4" s="6" t="s">
        <v>787</v>
      </c>
      <c r="H4" s="6" t="s">
        <v>825</v>
      </c>
      <c r="I4" s="36" t="s">
        <v>500</v>
      </c>
      <c r="J4" s="36" t="s">
        <v>502</v>
      </c>
      <c r="K4" s="6" t="s">
        <v>919</v>
      </c>
      <c r="M4" s="6" t="s">
        <v>435</v>
      </c>
      <c r="N4" s="6" t="s">
        <v>362</v>
      </c>
      <c r="O4" s="6">
        <v>20</v>
      </c>
      <c r="R4" s="6" t="s">
        <v>416</v>
      </c>
      <c r="S4" s="6" t="s">
        <v>440</v>
      </c>
    </row>
    <row r="5" spans="1:22" s="6" customFormat="1" ht="15" customHeight="1" x14ac:dyDescent="0.25">
      <c r="A5" s="6">
        <v>14</v>
      </c>
      <c r="B5" s="6" t="s">
        <v>400</v>
      </c>
      <c r="C5" s="6" t="s">
        <v>313</v>
      </c>
      <c r="D5" s="6" t="s">
        <v>401</v>
      </c>
      <c r="E5" s="6" t="s">
        <v>402</v>
      </c>
      <c r="F5" s="6" t="s">
        <v>27</v>
      </c>
      <c r="G5" s="6" t="s">
        <v>787</v>
      </c>
      <c r="H5" s="6" t="s">
        <v>826</v>
      </c>
      <c r="I5" s="36" t="s">
        <v>501</v>
      </c>
      <c r="J5" s="36" t="s">
        <v>502</v>
      </c>
      <c r="K5" s="6" t="s">
        <v>920</v>
      </c>
      <c r="M5" s="6" t="s">
        <v>347</v>
      </c>
      <c r="N5" s="6" t="s">
        <v>435</v>
      </c>
      <c r="O5" s="6">
        <v>30</v>
      </c>
      <c r="R5" s="6" t="s">
        <v>416</v>
      </c>
      <c r="S5" s="6" t="s">
        <v>510</v>
      </c>
    </row>
    <row r="6" spans="1:22" s="6" customFormat="1" ht="15" customHeight="1" x14ac:dyDescent="0.25">
      <c r="A6" s="6">
        <v>15</v>
      </c>
      <c r="B6" s="6" t="s">
        <v>542</v>
      </c>
      <c r="C6" s="6" t="s">
        <v>543</v>
      </c>
      <c r="D6" s="6" t="s">
        <v>544</v>
      </c>
      <c r="E6" s="6" t="s">
        <v>545</v>
      </c>
      <c r="F6" s="6" t="s">
        <v>27</v>
      </c>
      <c r="G6" s="6" t="s">
        <v>787</v>
      </c>
      <c r="H6" s="6" t="s">
        <v>827</v>
      </c>
      <c r="I6" s="36" t="s">
        <v>556</v>
      </c>
      <c r="J6" s="36"/>
      <c r="R6" s="6" t="s">
        <v>557</v>
      </c>
      <c r="T6" s="6" t="s">
        <v>550</v>
      </c>
      <c r="U6" s="6" t="s">
        <v>1044</v>
      </c>
    </row>
    <row r="7" spans="1:22" s="4" customFormat="1" ht="15" customHeight="1" x14ac:dyDescent="0.25">
      <c r="I7" s="22"/>
      <c r="J7" s="22"/>
    </row>
    <row r="8" spans="1:22" ht="15" customHeight="1" x14ac:dyDescent="0.25">
      <c r="A8">
        <v>6</v>
      </c>
      <c r="B8" t="s">
        <v>112</v>
      </c>
      <c r="C8" t="s">
        <v>57</v>
      </c>
      <c r="D8" t="s">
        <v>113</v>
      </c>
      <c r="E8" t="s">
        <v>24</v>
      </c>
      <c r="F8" t="s">
        <v>722</v>
      </c>
      <c r="G8" t="s">
        <v>786</v>
      </c>
      <c r="H8" t="s">
        <v>847</v>
      </c>
      <c r="I8" s="15" t="s">
        <v>140</v>
      </c>
      <c r="J8" s="15" t="s">
        <v>137</v>
      </c>
      <c r="K8" t="s">
        <v>921</v>
      </c>
      <c r="L8" t="s">
        <v>960</v>
      </c>
    </row>
    <row r="9" spans="1:22" ht="15" customHeight="1" x14ac:dyDescent="0.25">
      <c r="A9">
        <v>14</v>
      </c>
      <c r="B9" t="s">
        <v>400</v>
      </c>
      <c r="C9" t="s">
        <v>313</v>
      </c>
      <c r="D9" t="s">
        <v>401</v>
      </c>
      <c r="E9" t="s">
        <v>402</v>
      </c>
      <c r="F9" t="s">
        <v>27</v>
      </c>
      <c r="G9" t="s">
        <v>786</v>
      </c>
      <c r="H9" t="s">
        <v>847</v>
      </c>
      <c r="I9" s="15" t="s">
        <v>477</v>
      </c>
      <c r="J9" s="15" t="s">
        <v>481</v>
      </c>
      <c r="K9" t="s">
        <v>922</v>
      </c>
      <c r="M9" t="s">
        <v>347</v>
      </c>
      <c r="N9" t="s">
        <v>347</v>
      </c>
      <c r="O9">
        <v>200</v>
      </c>
      <c r="R9" t="s">
        <v>448</v>
      </c>
      <c r="S9" t="s">
        <v>487</v>
      </c>
    </row>
    <row r="10" spans="1:22" ht="15" customHeight="1" x14ac:dyDescent="0.25">
      <c r="A10">
        <v>14</v>
      </c>
      <c r="B10" t="s">
        <v>400</v>
      </c>
      <c r="C10" t="s">
        <v>313</v>
      </c>
      <c r="D10" t="s">
        <v>401</v>
      </c>
      <c r="E10" t="s">
        <v>402</v>
      </c>
      <c r="F10" t="s">
        <v>27</v>
      </c>
      <c r="G10" t="s">
        <v>786</v>
      </c>
      <c r="H10" t="s">
        <v>847</v>
      </c>
      <c r="I10" s="15" t="s">
        <v>529</v>
      </c>
      <c r="J10" s="15" t="s">
        <v>531</v>
      </c>
      <c r="K10" t="s">
        <v>923</v>
      </c>
      <c r="M10" t="s">
        <v>347</v>
      </c>
      <c r="N10" t="s">
        <v>347</v>
      </c>
      <c r="O10" t="s">
        <v>994</v>
      </c>
      <c r="R10" t="s">
        <v>437</v>
      </c>
      <c r="S10" t="s">
        <v>537</v>
      </c>
    </row>
    <row r="11" spans="1:22" ht="15" customHeight="1" x14ac:dyDescent="0.25">
      <c r="A11">
        <v>19</v>
      </c>
      <c r="B11" t="s">
        <v>613</v>
      </c>
      <c r="C11" t="s">
        <v>614</v>
      </c>
      <c r="D11" t="s">
        <v>615</v>
      </c>
      <c r="E11" t="s">
        <v>616</v>
      </c>
      <c r="F11" t="s">
        <v>740</v>
      </c>
      <c r="G11" t="s">
        <v>786</v>
      </c>
      <c r="H11" t="s">
        <v>847</v>
      </c>
      <c r="I11" s="15" t="s">
        <v>621</v>
      </c>
      <c r="K11" t="s">
        <v>923</v>
      </c>
      <c r="O11">
        <v>70</v>
      </c>
      <c r="P11">
        <v>25</v>
      </c>
    </row>
    <row r="12" spans="1:22" ht="15" customHeight="1" x14ac:dyDescent="0.25">
      <c r="A12">
        <v>6</v>
      </c>
      <c r="B12" t="s">
        <v>112</v>
      </c>
      <c r="C12" t="s">
        <v>57</v>
      </c>
      <c r="D12" t="s">
        <v>113</v>
      </c>
      <c r="E12" t="s">
        <v>24</v>
      </c>
      <c r="F12" t="s">
        <v>722</v>
      </c>
      <c r="G12" t="s">
        <v>786</v>
      </c>
      <c r="H12" t="s">
        <v>846</v>
      </c>
      <c r="I12" s="15" t="s">
        <v>138</v>
      </c>
      <c r="J12" s="15" t="s">
        <v>137</v>
      </c>
      <c r="K12" t="s">
        <v>924</v>
      </c>
      <c r="L12" s="6" t="s">
        <v>123</v>
      </c>
    </row>
    <row r="13" spans="1:22" ht="15" customHeight="1" x14ac:dyDescent="0.25">
      <c r="A13">
        <v>7</v>
      </c>
      <c r="B13" t="s">
        <v>143</v>
      </c>
      <c r="C13" t="s">
        <v>57</v>
      </c>
      <c r="D13" t="s">
        <v>144</v>
      </c>
      <c r="E13" t="s">
        <v>145</v>
      </c>
      <c r="F13" t="s">
        <v>27</v>
      </c>
      <c r="G13" t="s">
        <v>786</v>
      </c>
      <c r="H13" t="s">
        <v>846</v>
      </c>
      <c r="I13" s="15" t="s">
        <v>149</v>
      </c>
      <c r="K13" t="s">
        <v>1138</v>
      </c>
      <c r="M13" t="s">
        <v>345</v>
      </c>
      <c r="O13" t="s">
        <v>995</v>
      </c>
    </row>
    <row r="14" spans="1:22" ht="15" customHeight="1" x14ac:dyDescent="0.25">
      <c r="A14">
        <v>7</v>
      </c>
      <c r="B14" t="s">
        <v>143</v>
      </c>
      <c r="C14" t="s">
        <v>57</v>
      </c>
      <c r="D14" t="s">
        <v>144</v>
      </c>
      <c r="E14" t="s">
        <v>145</v>
      </c>
      <c r="F14" t="s">
        <v>27</v>
      </c>
      <c r="G14" t="s">
        <v>786</v>
      </c>
      <c r="H14" t="s">
        <v>846</v>
      </c>
      <c r="I14" s="15" t="s">
        <v>152</v>
      </c>
      <c r="K14" t="s">
        <v>1138</v>
      </c>
      <c r="M14" t="s">
        <v>345</v>
      </c>
      <c r="O14" t="s">
        <v>995</v>
      </c>
    </row>
    <row r="15" spans="1:22" ht="15" customHeight="1" x14ac:dyDescent="0.25">
      <c r="A15">
        <v>13</v>
      </c>
      <c r="B15" t="s">
        <v>335</v>
      </c>
      <c r="C15" t="s">
        <v>313</v>
      </c>
      <c r="D15" t="s">
        <v>336</v>
      </c>
      <c r="E15" t="s">
        <v>59</v>
      </c>
      <c r="F15" t="s">
        <v>737</v>
      </c>
      <c r="G15" t="s">
        <v>786</v>
      </c>
      <c r="H15" t="s">
        <v>846</v>
      </c>
      <c r="I15" s="15" t="s">
        <v>794</v>
      </c>
      <c r="K15" t="s">
        <v>925</v>
      </c>
      <c r="M15" t="s">
        <v>984</v>
      </c>
    </row>
    <row r="16" spans="1:22" ht="15" customHeight="1" x14ac:dyDescent="0.25">
      <c r="A16">
        <v>13</v>
      </c>
      <c r="B16" t="s">
        <v>335</v>
      </c>
      <c r="C16" t="s">
        <v>313</v>
      </c>
      <c r="D16" t="s">
        <v>336</v>
      </c>
      <c r="E16" t="s">
        <v>59</v>
      </c>
      <c r="F16" t="s">
        <v>737</v>
      </c>
      <c r="G16" t="s">
        <v>786</v>
      </c>
      <c r="H16" t="s">
        <v>846</v>
      </c>
      <c r="I16" s="15" t="s">
        <v>794</v>
      </c>
      <c r="K16" t="s">
        <v>926</v>
      </c>
      <c r="M16" t="s">
        <v>347</v>
      </c>
    </row>
    <row r="17" spans="1:19" ht="15" customHeight="1" x14ac:dyDescent="0.25">
      <c r="A17">
        <v>13</v>
      </c>
      <c r="B17" t="s">
        <v>335</v>
      </c>
      <c r="C17" t="s">
        <v>313</v>
      </c>
      <c r="D17" t="s">
        <v>336</v>
      </c>
      <c r="E17" t="s">
        <v>59</v>
      </c>
      <c r="F17" t="s">
        <v>737</v>
      </c>
      <c r="G17" t="s">
        <v>786</v>
      </c>
      <c r="H17" t="s">
        <v>846</v>
      </c>
      <c r="I17" s="15" t="s">
        <v>794</v>
      </c>
      <c r="K17" t="s">
        <v>927</v>
      </c>
      <c r="M17" t="s">
        <v>347</v>
      </c>
    </row>
    <row r="18" spans="1:19" ht="15" customHeight="1" x14ac:dyDescent="0.25">
      <c r="A18">
        <v>13</v>
      </c>
      <c r="B18" t="s">
        <v>335</v>
      </c>
      <c r="C18" t="s">
        <v>313</v>
      </c>
      <c r="D18" t="s">
        <v>336</v>
      </c>
      <c r="E18" t="s">
        <v>59</v>
      </c>
      <c r="F18" t="s">
        <v>737</v>
      </c>
      <c r="G18" t="s">
        <v>786</v>
      </c>
      <c r="H18" t="s">
        <v>846</v>
      </c>
      <c r="I18" s="15" t="s">
        <v>356</v>
      </c>
      <c r="J18" s="15" t="s">
        <v>355</v>
      </c>
      <c r="K18" t="s">
        <v>928</v>
      </c>
      <c r="N18" s="6" t="s">
        <v>709</v>
      </c>
    </row>
    <row r="19" spans="1:19" ht="15" customHeight="1" x14ac:dyDescent="0.25">
      <c r="A19">
        <v>13</v>
      </c>
      <c r="B19" t="s">
        <v>335</v>
      </c>
      <c r="C19" t="s">
        <v>313</v>
      </c>
      <c r="D19" t="s">
        <v>336</v>
      </c>
      <c r="E19" t="s">
        <v>59</v>
      </c>
      <c r="F19" t="s">
        <v>737</v>
      </c>
      <c r="G19" t="s">
        <v>786</v>
      </c>
      <c r="H19" t="s">
        <v>846</v>
      </c>
      <c r="I19" s="15" t="s">
        <v>358</v>
      </c>
      <c r="J19" s="15" t="s">
        <v>138</v>
      </c>
      <c r="K19" t="s">
        <v>928</v>
      </c>
      <c r="M19" t="s">
        <v>359</v>
      </c>
    </row>
    <row r="20" spans="1:19" ht="15" customHeight="1" x14ac:dyDescent="0.25">
      <c r="A20">
        <v>13</v>
      </c>
      <c r="B20" t="s">
        <v>335</v>
      </c>
      <c r="C20" t="s">
        <v>313</v>
      </c>
      <c r="D20" t="s">
        <v>336</v>
      </c>
      <c r="E20" t="s">
        <v>59</v>
      </c>
      <c r="F20" t="s">
        <v>737</v>
      </c>
      <c r="G20" t="s">
        <v>786</v>
      </c>
      <c r="H20" t="s">
        <v>846</v>
      </c>
      <c r="I20" s="15" t="s">
        <v>361</v>
      </c>
      <c r="J20" s="15" t="s">
        <v>360</v>
      </c>
      <c r="K20" t="s">
        <v>928</v>
      </c>
      <c r="M20" t="s">
        <v>362</v>
      </c>
    </row>
    <row r="21" spans="1:19" ht="15" customHeight="1" x14ac:dyDescent="0.25">
      <c r="A21">
        <v>14</v>
      </c>
      <c r="B21" t="s">
        <v>400</v>
      </c>
      <c r="C21" t="s">
        <v>313</v>
      </c>
      <c r="D21" t="s">
        <v>401</v>
      </c>
      <c r="E21" t="s">
        <v>402</v>
      </c>
      <c r="F21" t="s">
        <v>27</v>
      </c>
      <c r="G21" t="s">
        <v>786</v>
      </c>
      <c r="H21" t="s">
        <v>846</v>
      </c>
      <c r="I21" s="15" t="s">
        <v>478</v>
      </c>
      <c r="J21" s="15" t="s">
        <v>481</v>
      </c>
      <c r="K21" t="s">
        <v>929</v>
      </c>
      <c r="M21" t="s">
        <v>347</v>
      </c>
      <c r="N21" t="s">
        <v>347</v>
      </c>
      <c r="O21">
        <v>1000</v>
      </c>
      <c r="R21" t="s">
        <v>486</v>
      </c>
      <c r="S21" t="s">
        <v>487</v>
      </c>
    </row>
    <row r="22" spans="1:19" ht="15" customHeight="1" x14ac:dyDescent="0.25">
      <c r="A22">
        <v>14</v>
      </c>
      <c r="B22" t="s">
        <v>400</v>
      </c>
      <c r="C22" t="s">
        <v>313</v>
      </c>
      <c r="D22" t="s">
        <v>401</v>
      </c>
      <c r="E22" t="s">
        <v>402</v>
      </c>
      <c r="F22" t="s">
        <v>27</v>
      </c>
      <c r="G22" t="s">
        <v>786</v>
      </c>
      <c r="H22" t="s">
        <v>846</v>
      </c>
      <c r="I22" s="15" t="s">
        <v>479</v>
      </c>
      <c r="J22" s="15" t="s">
        <v>481</v>
      </c>
      <c r="K22" t="s">
        <v>930</v>
      </c>
      <c r="M22" t="s">
        <v>362</v>
      </c>
      <c r="N22" t="s">
        <v>362</v>
      </c>
      <c r="O22">
        <v>100</v>
      </c>
      <c r="R22" t="s">
        <v>438</v>
      </c>
      <c r="S22" t="s">
        <v>487</v>
      </c>
    </row>
    <row r="23" spans="1:19" ht="15" customHeight="1" x14ac:dyDescent="0.25">
      <c r="A23">
        <v>14</v>
      </c>
      <c r="B23" t="s">
        <v>400</v>
      </c>
      <c r="C23" t="s">
        <v>313</v>
      </c>
      <c r="D23" t="s">
        <v>401</v>
      </c>
      <c r="E23" t="s">
        <v>402</v>
      </c>
      <c r="F23" t="s">
        <v>27</v>
      </c>
      <c r="G23" t="s">
        <v>786</v>
      </c>
      <c r="H23" t="s">
        <v>846</v>
      </c>
      <c r="I23" s="15" t="s">
        <v>480</v>
      </c>
      <c r="J23" s="15" t="s">
        <v>481</v>
      </c>
      <c r="K23" t="s">
        <v>930</v>
      </c>
      <c r="M23" t="s">
        <v>435</v>
      </c>
      <c r="N23" t="s">
        <v>435</v>
      </c>
      <c r="O23">
        <v>30</v>
      </c>
      <c r="R23" t="s">
        <v>414</v>
      </c>
      <c r="S23" t="s">
        <v>487</v>
      </c>
    </row>
    <row r="24" spans="1:19" ht="15" customHeight="1" x14ac:dyDescent="0.25">
      <c r="A24">
        <v>19</v>
      </c>
      <c r="B24" t="s">
        <v>613</v>
      </c>
      <c r="C24" t="s">
        <v>614</v>
      </c>
      <c r="D24" t="s">
        <v>615</v>
      </c>
      <c r="E24" t="s">
        <v>616</v>
      </c>
      <c r="F24" t="s">
        <v>740</v>
      </c>
      <c r="G24" t="s">
        <v>786</v>
      </c>
      <c r="H24" t="s">
        <v>846</v>
      </c>
      <c r="I24" s="15" t="s">
        <v>628</v>
      </c>
      <c r="K24" t="s">
        <v>922</v>
      </c>
      <c r="O24">
        <v>100</v>
      </c>
      <c r="P24" t="s">
        <v>993</v>
      </c>
    </row>
    <row r="25" spans="1:19" ht="15" customHeight="1" x14ac:dyDescent="0.25">
      <c r="A25">
        <v>19</v>
      </c>
      <c r="B25" t="s">
        <v>613</v>
      </c>
      <c r="C25" t="s">
        <v>614</v>
      </c>
      <c r="D25" t="s">
        <v>615</v>
      </c>
      <c r="E25" t="s">
        <v>616</v>
      </c>
      <c r="F25" t="s">
        <v>740</v>
      </c>
      <c r="G25" t="s">
        <v>786</v>
      </c>
      <c r="H25" t="s">
        <v>846</v>
      </c>
      <c r="I25" s="15" t="s">
        <v>632</v>
      </c>
      <c r="K25" t="s">
        <v>923</v>
      </c>
      <c r="O25" t="s">
        <v>996</v>
      </c>
      <c r="P25" t="s">
        <v>993</v>
      </c>
    </row>
    <row r="26" spans="1:19" ht="15" customHeight="1" x14ac:dyDescent="0.25">
      <c r="A26">
        <v>14</v>
      </c>
      <c r="B26" t="s">
        <v>400</v>
      </c>
      <c r="C26" t="s">
        <v>313</v>
      </c>
      <c r="D26" t="s">
        <v>401</v>
      </c>
      <c r="E26" t="s">
        <v>402</v>
      </c>
      <c r="F26" t="s">
        <v>27</v>
      </c>
      <c r="G26" t="s">
        <v>786</v>
      </c>
      <c r="H26" t="s">
        <v>849</v>
      </c>
      <c r="I26" s="15" t="s">
        <v>520</v>
      </c>
      <c r="J26" s="15" t="s">
        <v>524</v>
      </c>
      <c r="K26" t="s">
        <v>931</v>
      </c>
      <c r="M26">
        <v>95</v>
      </c>
      <c r="N26" t="s">
        <v>387</v>
      </c>
      <c r="O26">
        <v>10</v>
      </c>
      <c r="R26" t="s">
        <v>525</v>
      </c>
      <c r="S26" t="s">
        <v>418</v>
      </c>
    </row>
    <row r="27" spans="1:19" ht="15" customHeight="1" x14ac:dyDescent="0.25">
      <c r="A27">
        <v>14</v>
      </c>
      <c r="B27" t="s">
        <v>400</v>
      </c>
      <c r="C27" t="s">
        <v>313</v>
      </c>
      <c r="D27" t="s">
        <v>401</v>
      </c>
      <c r="E27" t="s">
        <v>402</v>
      </c>
      <c r="F27" t="s">
        <v>27</v>
      </c>
      <c r="G27" t="s">
        <v>786</v>
      </c>
      <c r="H27" t="s">
        <v>849</v>
      </c>
      <c r="I27" s="15" t="s">
        <v>521</v>
      </c>
      <c r="J27" s="15" t="s">
        <v>524</v>
      </c>
      <c r="K27" t="s">
        <v>932</v>
      </c>
      <c r="M27" t="s">
        <v>387</v>
      </c>
      <c r="N27" t="s">
        <v>387</v>
      </c>
      <c r="O27">
        <v>1000</v>
      </c>
      <c r="R27" t="s">
        <v>525</v>
      </c>
      <c r="S27" t="s">
        <v>418</v>
      </c>
    </row>
    <row r="28" spans="1:19" ht="15" customHeight="1" x14ac:dyDescent="0.25">
      <c r="A28">
        <v>14</v>
      </c>
      <c r="B28" t="s">
        <v>400</v>
      </c>
      <c r="C28" t="s">
        <v>313</v>
      </c>
      <c r="D28" t="s">
        <v>401</v>
      </c>
      <c r="E28" t="s">
        <v>402</v>
      </c>
      <c r="F28" t="s">
        <v>27</v>
      </c>
      <c r="G28" t="s">
        <v>786</v>
      </c>
      <c r="H28" t="s">
        <v>849</v>
      </c>
      <c r="I28" s="15" t="s">
        <v>522</v>
      </c>
      <c r="J28" s="15" t="s">
        <v>524</v>
      </c>
      <c r="K28" t="s">
        <v>932</v>
      </c>
      <c r="M28" t="s">
        <v>387</v>
      </c>
      <c r="N28" t="s">
        <v>387</v>
      </c>
      <c r="O28">
        <v>1000</v>
      </c>
      <c r="R28" t="s">
        <v>525</v>
      </c>
      <c r="S28" t="s">
        <v>418</v>
      </c>
    </row>
    <row r="29" spans="1:19" ht="15" customHeight="1" x14ac:dyDescent="0.25">
      <c r="A29">
        <v>14</v>
      </c>
      <c r="B29" t="s">
        <v>400</v>
      </c>
      <c r="C29" t="s">
        <v>313</v>
      </c>
      <c r="D29" t="s">
        <v>401</v>
      </c>
      <c r="E29" t="s">
        <v>402</v>
      </c>
      <c r="F29" t="s">
        <v>27</v>
      </c>
      <c r="G29" t="s">
        <v>786</v>
      </c>
      <c r="H29" t="s">
        <v>849</v>
      </c>
      <c r="I29" s="15" t="s">
        <v>523</v>
      </c>
      <c r="J29" s="15" t="s">
        <v>524</v>
      </c>
      <c r="K29" t="s">
        <v>929</v>
      </c>
      <c r="M29" t="s">
        <v>387</v>
      </c>
      <c r="N29" t="s">
        <v>387</v>
      </c>
      <c r="O29">
        <v>1000</v>
      </c>
      <c r="R29" t="s">
        <v>525</v>
      </c>
      <c r="S29" t="s">
        <v>418</v>
      </c>
    </row>
    <row r="30" spans="1:19" s="4" customFormat="1" ht="15" customHeight="1" x14ac:dyDescent="0.25">
      <c r="I30" s="22"/>
      <c r="J30" s="22"/>
    </row>
    <row r="31" spans="1:19" ht="15" customHeight="1" x14ac:dyDescent="0.25">
      <c r="A31">
        <v>6</v>
      </c>
      <c r="B31" t="s">
        <v>112</v>
      </c>
      <c r="C31" t="s">
        <v>57</v>
      </c>
      <c r="D31" t="s">
        <v>113</v>
      </c>
      <c r="E31" t="s">
        <v>24</v>
      </c>
      <c r="F31" t="s">
        <v>722</v>
      </c>
      <c r="G31" t="s">
        <v>785</v>
      </c>
      <c r="H31" t="s">
        <v>860</v>
      </c>
      <c r="I31" s="15" t="s">
        <v>125</v>
      </c>
      <c r="J31" s="15" t="s">
        <v>124</v>
      </c>
      <c r="K31" t="s">
        <v>1138</v>
      </c>
      <c r="L31" s="6" t="s">
        <v>123</v>
      </c>
    </row>
    <row r="32" spans="1:19" ht="15" customHeight="1" x14ac:dyDescent="0.25">
      <c r="A32">
        <v>14</v>
      </c>
      <c r="B32" t="s">
        <v>400</v>
      </c>
      <c r="C32" t="s">
        <v>313</v>
      </c>
      <c r="D32" t="s">
        <v>401</v>
      </c>
      <c r="E32" t="s">
        <v>402</v>
      </c>
      <c r="F32" t="s">
        <v>27</v>
      </c>
      <c r="G32" t="s">
        <v>785</v>
      </c>
      <c r="H32" t="s">
        <v>860</v>
      </c>
      <c r="I32" s="15" t="s">
        <v>430</v>
      </c>
      <c r="J32" s="15" t="s">
        <v>433</v>
      </c>
      <c r="K32" t="s">
        <v>923</v>
      </c>
      <c r="M32" t="s">
        <v>434</v>
      </c>
      <c r="N32" t="s">
        <v>434</v>
      </c>
      <c r="O32">
        <v>1000</v>
      </c>
      <c r="R32" t="s">
        <v>437</v>
      </c>
      <c r="S32" t="s">
        <v>439</v>
      </c>
    </row>
    <row r="33" spans="1:22" ht="15" customHeight="1" x14ac:dyDescent="0.25">
      <c r="A33">
        <v>14</v>
      </c>
      <c r="B33" t="s">
        <v>400</v>
      </c>
      <c r="C33" t="s">
        <v>313</v>
      </c>
      <c r="D33" t="s">
        <v>401</v>
      </c>
      <c r="E33" t="s">
        <v>402</v>
      </c>
      <c r="F33" t="s">
        <v>27</v>
      </c>
      <c r="G33" t="s">
        <v>785</v>
      </c>
      <c r="H33" t="s">
        <v>860</v>
      </c>
      <c r="I33" s="15" t="s">
        <v>431</v>
      </c>
      <c r="J33" s="15" t="s">
        <v>433</v>
      </c>
      <c r="K33" t="s">
        <v>919</v>
      </c>
      <c r="M33" t="s">
        <v>347</v>
      </c>
      <c r="N33" t="s">
        <v>345</v>
      </c>
      <c r="O33">
        <v>1</v>
      </c>
      <c r="R33" t="s">
        <v>438</v>
      </c>
      <c r="S33" t="s">
        <v>418</v>
      </c>
    </row>
    <row r="34" spans="1:22" ht="15" customHeight="1" x14ac:dyDescent="0.25">
      <c r="A34">
        <v>14</v>
      </c>
      <c r="B34" t="s">
        <v>400</v>
      </c>
      <c r="C34" t="s">
        <v>313</v>
      </c>
      <c r="D34" t="s">
        <v>401</v>
      </c>
      <c r="E34" t="s">
        <v>402</v>
      </c>
      <c r="F34" t="s">
        <v>27</v>
      </c>
      <c r="G34" t="s">
        <v>785</v>
      </c>
      <c r="H34" t="s">
        <v>860</v>
      </c>
      <c r="I34" s="15" t="s">
        <v>432</v>
      </c>
      <c r="J34" s="15" t="s">
        <v>433</v>
      </c>
      <c r="K34" t="s">
        <v>919</v>
      </c>
      <c r="M34" t="s">
        <v>435</v>
      </c>
      <c r="N34" t="s">
        <v>387</v>
      </c>
      <c r="O34">
        <v>1</v>
      </c>
      <c r="R34" t="s">
        <v>416</v>
      </c>
      <c r="S34" t="s">
        <v>440</v>
      </c>
    </row>
    <row r="35" spans="1:22" ht="15" customHeight="1" x14ac:dyDescent="0.25">
      <c r="A35">
        <v>14</v>
      </c>
      <c r="B35" t="s">
        <v>400</v>
      </c>
      <c r="C35" t="s">
        <v>313</v>
      </c>
      <c r="D35" t="s">
        <v>401</v>
      </c>
      <c r="E35" t="s">
        <v>402</v>
      </c>
      <c r="F35" t="s">
        <v>27</v>
      </c>
      <c r="G35" t="s">
        <v>785</v>
      </c>
      <c r="H35" t="s">
        <v>859</v>
      </c>
      <c r="I35" s="15" t="s">
        <v>449</v>
      </c>
      <c r="J35" s="15" t="s">
        <v>452</v>
      </c>
      <c r="K35" t="s">
        <v>923</v>
      </c>
      <c r="M35">
        <v>95</v>
      </c>
      <c r="N35">
        <v>95</v>
      </c>
      <c r="O35">
        <v>15</v>
      </c>
      <c r="R35" t="s">
        <v>458</v>
      </c>
      <c r="S35" t="s">
        <v>460</v>
      </c>
    </row>
    <row r="36" spans="1:22" ht="15" customHeight="1" x14ac:dyDescent="0.25">
      <c r="A36">
        <v>14</v>
      </c>
      <c r="B36" t="s">
        <v>400</v>
      </c>
      <c r="C36" t="s">
        <v>313</v>
      </c>
      <c r="D36" t="s">
        <v>401</v>
      </c>
      <c r="E36" t="s">
        <v>402</v>
      </c>
      <c r="F36" t="s">
        <v>27</v>
      </c>
      <c r="G36" t="s">
        <v>785</v>
      </c>
      <c r="H36" t="s">
        <v>859</v>
      </c>
      <c r="I36" s="15" t="s">
        <v>450</v>
      </c>
      <c r="J36" s="15" t="s">
        <v>452</v>
      </c>
      <c r="K36" t="s">
        <v>919</v>
      </c>
      <c r="M36">
        <v>95</v>
      </c>
      <c r="N36">
        <v>95</v>
      </c>
      <c r="O36">
        <v>10</v>
      </c>
      <c r="R36" t="s">
        <v>458</v>
      </c>
      <c r="S36" t="s">
        <v>461</v>
      </c>
    </row>
    <row r="37" spans="1:22" ht="15" customHeight="1" x14ac:dyDescent="0.25">
      <c r="A37">
        <v>14</v>
      </c>
      <c r="B37" t="s">
        <v>400</v>
      </c>
      <c r="C37" t="s">
        <v>313</v>
      </c>
      <c r="D37" t="s">
        <v>401</v>
      </c>
      <c r="E37" t="s">
        <v>402</v>
      </c>
      <c r="F37" t="s">
        <v>27</v>
      </c>
      <c r="G37" t="s">
        <v>785</v>
      </c>
      <c r="H37" t="s">
        <v>859</v>
      </c>
      <c r="I37" s="15" t="s">
        <v>451</v>
      </c>
      <c r="J37" s="15" t="s">
        <v>452</v>
      </c>
      <c r="K37" t="s">
        <v>933</v>
      </c>
      <c r="M37" t="s">
        <v>454</v>
      </c>
      <c r="N37" t="s">
        <v>454</v>
      </c>
      <c r="O37">
        <v>1000</v>
      </c>
      <c r="R37" t="s">
        <v>459</v>
      </c>
      <c r="S37" t="s">
        <v>462</v>
      </c>
    </row>
    <row r="38" spans="1:22" ht="15" customHeight="1" x14ac:dyDescent="0.25">
      <c r="A38">
        <v>4</v>
      </c>
      <c r="B38" t="s">
        <v>70</v>
      </c>
      <c r="C38" t="s">
        <v>57</v>
      </c>
      <c r="D38" t="s">
        <v>71</v>
      </c>
      <c r="E38" t="s">
        <v>24</v>
      </c>
      <c r="F38" t="s">
        <v>27</v>
      </c>
      <c r="G38" t="s">
        <v>785</v>
      </c>
      <c r="H38" t="s">
        <v>858</v>
      </c>
      <c r="I38" s="15" t="s">
        <v>95</v>
      </c>
      <c r="J38" s="15" t="s">
        <v>75</v>
      </c>
      <c r="V38" t="s">
        <v>94</v>
      </c>
    </row>
    <row r="39" spans="1:22" ht="15" customHeight="1" x14ac:dyDescent="0.25">
      <c r="A39">
        <v>14</v>
      </c>
      <c r="B39" t="s">
        <v>400</v>
      </c>
      <c r="C39" t="s">
        <v>313</v>
      </c>
      <c r="D39" t="s">
        <v>401</v>
      </c>
      <c r="E39" t="s">
        <v>402</v>
      </c>
      <c r="F39" t="s">
        <v>27</v>
      </c>
      <c r="G39" t="s">
        <v>785</v>
      </c>
      <c r="H39" t="s">
        <v>858</v>
      </c>
      <c r="I39" s="15" t="s">
        <v>513</v>
      </c>
      <c r="J39" s="15" t="s">
        <v>514</v>
      </c>
      <c r="K39" t="s">
        <v>933</v>
      </c>
      <c r="M39">
        <v>99</v>
      </c>
      <c r="N39" t="s">
        <v>347</v>
      </c>
      <c r="O39">
        <v>100</v>
      </c>
      <c r="R39" t="s">
        <v>517</v>
      </c>
      <c r="S39" t="s">
        <v>519</v>
      </c>
    </row>
    <row r="40" spans="1:22" ht="15" customHeight="1" x14ac:dyDescent="0.25">
      <c r="A40">
        <v>2</v>
      </c>
      <c r="B40" t="s">
        <v>36</v>
      </c>
      <c r="C40" t="s">
        <v>22</v>
      </c>
      <c r="D40" t="s">
        <v>37</v>
      </c>
      <c r="E40" t="s">
        <v>38</v>
      </c>
      <c r="F40" t="s">
        <v>27</v>
      </c>
      <c r="G40" t="s">
        <v>785</v>
      </c>
      <c r="H40" t="s">
        <v>858</v>
      </c>
      <c r="J40" s="15" t="s">
        <v>45</v>
      </c>
      <c r="R40" t="s">
        <v>1031</v>
      </c>
    </row>
    <row r="41" spans="1:22" ht="15" customHeight="1" x14ac:dyDescent="0.25">
      <c r="A41">
        <v>4</v>
      </c>
      <c r="B41" t="s">
        <v>70</v>
      </c>
      <c r="C41" t="s">
        <v>57</v>
      </c>
      <c r="D41" t="s">
        <v>71</v>
      </c>
      <c r="E41" t="s">
        <v>24</v>
      </c>
      <c r="F41" t="s">
        <v>27</v>
      </c>
      <c r="G41" t="s">
        <v>785</v>
      </c>
      <c r="H41" t="s">
        <v>858</v>
      </c>
      <c r="I41" s="15" t="s">
        <v>78</v>
      </c>
      <c r="J41" s="15" t="s">
        <v>77</v>
      </c>
      <c r="V41" t="s">
        <v>74</v>
      </c>
    </row>
    <row r="42" spans="1:22" ht="15" customHeight="1" x14ac:dyDescent="0.25">
      <c r="A42">
        <v>4</v>
      </c>
      <c r="B42" t="s">
        <v>70</v>
      </c>
      <c r="C42" t="s">
        <v>57</v>
      </c>
      <c r="D42" t="s">
        <v>71</v>
      </c>
      <c r="E42" t="s">
        <v>24</v>
      </c>
      <c r="F42" t="s">
        <v>27</v>
      </c>
      <c r="G42" t="s">
        <v>785</v>
      </c>
      <c r="H42" t="s">
        <v>858</v>
      </c>
      <c r="I42" s="15" t="s">
        <v>93</v>
      </c>
      <c r="J42" s="15" t="s">
        <v>88</v>
      </c>
      <c r="V42" t="s">
        <v>94</v>
      </c>
    </row>
    <row r="43" spans="1:22" ht="15" customHeight="1" x14ac:dyDescent="0.25">
      <c r="A43">
        <v>18</v>
      </c>
      <c r="B43" t="s">
        <v>589</v>
      </c>
      <c r="C43" t="s">
        <v>590</v>
      </c>
      <c r="D43" t="s">
        <v>591</v>
      </c>
      <c r="E43" t="s">
        <v>592</v>
      </c>
      <c r="F43" t="s">
        <v>27</v>
      </c>
      <c r="G43" t="s">
        <v>785</v>
      </c>
      <c r="H43" t="s">
        <v>858</v>
      </c>
      <c r="I43" s="15" t="s">
        <v>587</v>
      </c>
      <c r="K43" t="s">
        <v>939</v>
      </c>
      <c r="P43" s="6" t="s">
        <v>596</v>
      </c>
      <c r="Q43" t="s">
        <v>599</v>
      </c>
      <c r="R43" t="s">
        <v>1032</v>
      </c>
    </row>
    <row r="44" spans="1:22" ht="15" customHeight="1" x14ac:dyDescent="0.25">
      <c r="A44">
        <v>5</v>
      </c>
      <c r="B44" t="s">
        <v>96</v>
      </c>
      <c r="C44" t="s">
        <v>57</v>
      </c>
      <c r="D44" t="s">
        <v>97</v>
      </c>
      <c r="E44" t="s">
        <v>98</v>
      </c>
      <c r="F44" t="s">
        <v>724</v>
      </c>
      <c r="G44" t="s">
        <v>785</v>
      </c>
      <c r="H44" t="s">
        <v>858</v>
      </c>
      <c r="I44" s="15" t="s">
        <v>644</v>
      </c>
      <c r="K44" s="11" t="s">
        <v>938</v>
      </c>
      <c r="P44" s="6" t="s">
        <v>100</v>
      </c>
      <c r="V44" t="s">
        <v>102</v>
      </c>
    </row>
    <row r="45" spans="1:22" ht="15" customHeight="1" x14ac:dyDescent="0.25">
      <c r="A45">
        <v>14</v>
      </c>
      <c r="B45" t="s">
        <v>400</v>
      </c>
      <c r="C45" t="s">
        <v>313</v>
      </c>
      <c r="D45" t="s">
        <v>401</v>
      </c>
      <c r="E45" t="s">
        <v>402</v>
      </c>
      <c r="F45" t="s">
        <v>27</v>
      </c>
      <c r="G45" t="s">
        <v>785</v>
      </c>
      <c r="H45" t="s">
        <v>858</v>
      </c>
      <c r="I45" s="15" t="s">
        <v>397</v>
      </c>
      <c r="J45" s="15" t="s">
        <v>403</v>
      </c>
      <c r="K45" t="s">
        <v>923</v>
      </c>
      <c r="M45" t="s">
        <v>345</v>
      </c>
      <c r="N45" t="s">
        <v>345</v>
      </c>
      <c r="O45" t="s">
        <v>997</v>
      </c>
      <c r="R45" t="s">
        <v>414</v>
      </c>
      <c r="S45" t="s">
        <v>419</v>
      </c>
    </row>
    <row r="46" spans="1:22" ht="15" customHeight="1" x14ac:dyDescent="0.25">
      <c r="A46">
        <v>14</v>
      </c>
      <c r="B46" t="s">
        <v>400</v>
      </c>
      <c r="C46" t="s">
        <v>313</v>
      </c>
      <c r="D46" t="s">
        <v>401</v>
      </c>
      <c r="E46" t="s">
        <v>402</v>
      </c>
      <c r="F46" t="s">
        <v>27</v>
      </c>
      <c r="G46" t="s">
        <v>785</v>
      </c>
      <c r="H46" t="s">
        <v>858</v>
      </c>
      <c r="I46" s="15" t="s">
        <v>512</v>
      </c>
      <c r="J46" s="15" t="s">
        <v>514</v>
      </c>
      <c r="K46" t="s">
        <v>923</v>
      </c>
      <c r="M46" t="s">
        <v>347</v>
      </c>
      <c r="N46" t="s">
        <v>347</v>
      </c>
      <c r="O46">
        <v>50</v>
      </c>
      <c r="R46" t="s">
        <v>516</v>
      </c>
      <c r="S46" t="s">
        <v>518</v>
      </c>
    </row>
    <row r="47" spans="1:22" ht="15" customHeight="1" x14ac:dyDescent="0.25">
      <c r="A47">
        <v>4</v>
      </c>
      <c r="B47" t="s">
        <v>70</v>
      </c>
      <c r="C47" t="s">
        <v>57</v>
      </c>
      <c r="D47" t="s">
        <v>71</v>
      </c>
      <c r="E47" t="s">
        <v>24</v>
      </c>
      <c r="F47" t="s">
        <v>27</v>
      </c>
      <c r="G47" t="s">
        <v>785</v>
      </c>
      <c r="H47" t="s">
        <v>858</v>
      </c>
      <c r="I47" s="15" t="s">
        <v>76</v>
      </c>
      <c r="J47" s="15" t="s">
        <v>75</v>
      </c>
      <c r="V47" t="s">
        <v>74</v>
      </c>
    </row>
    <row r="48" spans="1:22" ht="15" customHeight="1" x14ac:dyDescent="0.25">
      <c r="A48">
        <v>4</v>
      </c>
      <c r="B48" t="s">
        <v>70</v>
      </c>
      <c r="C48" t="s">
        <v>57</v>
      </c>
      <c r="D48" t="s">
        <v>71</v>
      </c>
      <c r="E48" t="s">
        <v>24</v>
      </c>
      <c r="F48" t="s">
        <v>27</v>
      </c>
      <c r="G48" t="s">
        <v>785</v>
      </c>
      <c r="H48" t="s">
        <v>858</v>
      </c>
      <c r="I48" s="15" t="s">
        <v>82</v>
      </c>
      <c r="J48" s="15" t="s">
        <v>75</v>
      </c>
      <c r="V48" t="s">
        <v>83</v>
      </c>
    </row>
    <row r="49" spans="1:22" ht="15" customHeight="1" x14ac:dyDescent="0.25">
      <c r="A49">
        <v>14</v>
      </c>
      <c r="B49" t="s">
        <v>400</v>
      </c>
      <c r="C49" t="s">
        <v>313</v>
      </c>
      <c r="D49" t="s">
        <v>401</v>
      </c>
      <c r="E49" t="s">
        <v>402</v>
      </c>
      <c r="F49" t="s">
        <v>27</v>
      </c>
      <c r="G49" t="s">
        <v>785</v>
      </c>
      <c r="H49" t="s">
        <v>858</v>
      </c>
      <c r="I49" s="15" t="s">
        <v>511</v>
      </c>
      <c r="J49" s="15" t="s">
        <v>514</v>
      </c>
      <c r="K49" t="s">
        <v>923</v>
      </c>
      <c r="M49" t="s">
        <v>347</v>
      </c>
      <c r="N49" t="s">
        <v>347</v>
      </c>
      <c r="O49">
        <v>100</v>
      </c>
      <c r="R49" t="s">
        <v>516</v>
      </c>
      <c r="S49" t="s">
        <v>497</v>
      </c>
    </row>
    <row r="50" spans="1:22" s="4" customFormat="1" ht="15" customHeight="1" x14ac:dyDescent="0.25">
      <c r="I50" s="22"/>
      <c r="J50" s="22"/>
    </row>
    <row r="51" spans="1:22" ht="15" customHeight="1" x14ac:dyDescent="0.25">
      <c r="A51">
        <v>14</v>
      </c>
      <c r="B51" t="s">
        <v>400</v>
      </c>
      <c r="C51" t="s">
        <v>313</v>
      </c>
      <c r="D51" t="s">
        <v>401</v>
      </c>
      <c r="E51" t="s">
        <v>402</v>
      </c>
      <c r="F51" t="s">
        <v>27</v>
      </c>
      <c r="G51" t="s">
        <v>744</v>
      </c>
      <c r="H51" t="s">
        <v>867</v>
      </c>
      <c r="I51" s="15" t="s">
        <v>441</v>
      </c>
      <c r="J51" s="15" t="s">
        <v>443</v>
      </c>
      <c r="K51" t="s">
        <v>923</v>
      </c>
      <c r="M51" t="s">
        <v>345</v>
      </c>
      <c r="N51" t="s">
        <v>347</v>
      </c>
      <c r="O51">
        <v>100</v>
      </c>
      <c r="R51" t="s">
        <v>448</v>
      </c>
      <c r="S51" t="s">
        <v>418</v>
      </c>
    </row>
    <row r="52" spans="1:22" ht="15" customHeight="1" x14ac:dyDescent="0.25">
      <c r="A52">
        <v>16</v>
      </c>
      <c r="B52" t="s">
        <v>570</v>
      </c>
      <c r="C52" t="s">
        <v>543</v>
      </c>
      <c r="D52" t="s">
        <v>571</v>
      </c>
      <c r="E52" t="s">
        <v>59</v>
      </c>
      <c r="F52" t="s">
        <v>27</v>
      </c>
      <c r="G52" t="s">
        <v>744</v>
      </c>
      <c r="H52" t="s">
        <v>867</v>
      </c>
      <c r="I52" s="15" t="s">
        <v>572</v>
      </c>
      <c r="K52" t="s">
        <v>934</v>
      </c>
      <c r="N52" s="6" t="s">
        <v>977</v>
      </c>
    </row>
    <row r="53" spans="1:22" ht="15" customHeight="1" x14ac:dyDescent="0.25">
      <c r="A53">
        <v>21</v>
      </c>
      <c r="B53" t="s">
        <v>652</v>
      </c>
      <c r="C53" t="s">
        <v>639</v>
      </c>
      <c r="D53" t="s">
        <v>653</v>
      </c>
      <c r="E53" t="s">
        <v>654</v>
      </c>
      <c r="F53" t="s">
        <v>742</v>
      </c>
      <c r="G53" t="s">
        <v>744</v>
      </c>
      <c r="H53" t="s">
        <v>867</v>
      </c>
      <c r="I53" s="15" t="s">
        <v>662</v>
      </c>
      <c r="K53" t="s">
        <v>1139</v>
      </c>
      <c r="O53" t="s">
        <v>998</v>
      </c>
      <c r="P53" s="6" t="s">
        <v>663</v>
      </c>
      <c r="T53" t="s">
        <v>320</v>
      </c>
      <c r="V53" t="s">
        <v>330</v>
      </c>
    </row>
    <row r="54" spans="1:22" ht="15" customHeight="1" x14ac:dyDescent="0.25">
      <c r="A54">
        <v>21</v>
      </c>
      <c r="B54" t="s">
        <v>652</v>
      </c>
      <c r="C54" t="s">
        <v>639</v>
      </c>
      <c r="D54" t="s">
        <v>653</v>
      </c>
      <c r="E54" t="s">
        <v>654</v>
      </c>
      <c r="F54" t="s">
        <v>742</v>
      </c>
      <c r="G54" t="s">
        <v>744</v>
      </c>
      <c r="H54" t="s">
        <v>867</v>
      </c>
      <c r="I54" s="15" t="s">
        <v>665</v>
      </c>
      <c r="K54" t="s">
        <v>1139</v>
      </c>
      <c r="O54">
        <v>1</v>
      </c>
      <c r="R54">
        <v>2</v>
      </c>
      <c r="T54" t="s">
        <v>330</v>
      </c>
      <c r="V54" t="s">
        <v>327</v>
      </c>
    </row>
    <row r="55" spans="1:22" ht="15" customHeight="1" x14ac:dyDescent="0.25">
      <c r="A55">
        <v>21</v>
      </c>
      <c r="B55" t="s">
        <v>652</v>
      </c>
      <c r="C55" t="s">
        <v>639</v>
      </c>
      <c r="D55" t="s">
        <v>653</v>
      </c>
      <c r="E55" t="s">
        <v>654</v>
      </c>
      <c r="F55" t="s">
        <v>742</v>
      </c>
      <c r="G55" t="s">
        <v>744</v>
      </c>
      <c r="H55" t="s">
        <v>867</v>
      </c>
      <c r="I55" s="15" t="s">
        <v>666</v>
      </c>
      <c r="K55" t="s">
        <v>1139</v>
      </c>
      <c r="O55" t="s">
        <v>564</v>
      </c>
      <c r="P55" s="6" t="s">
        <v>668</v>
      </c>
      <c r="T55" t="s">
        <v>320</v>
      </c>
      <c r="V55" t="s">
        <v>658</v>
      </c>
    </row>
    <row r="56" spans="1:22" ht="15" customHeight="1" x14ac:dyDescent="0.25">
      <c r="A56">
        <v>21</v>
      </c>
      <c r="B56" t="s">
        <v>652</v>
      </c>
      <c r="C56" t="s">
        <v>639</v>
      </c>
      <c r="D56" t="s">
        <v>653</v>
      </c>
      <c r="E56" t="s">
        <v>654</v>
      </c>
      <c r="F56" t="s">
        <v>742</v>
      </c>
      <c r="G56" t="s">
        <v>744</v>
      </c>
      <c r="H56" t="s">
        <v>867</v>
      </c>
      <c r="I56" s="15" t="s">
        <v>669</v>
      </c>
      <c r="K56" t="s">
        <v>1140</v>
      </c>
      <c r="O56" t="s">
        <v>999</v>
      </c>
      <c r="P56" s="6" t="s">
        <v>663</v>
      </c>
      <c r="R56" t="s">
        <v>671</v>
      </c>
      <c r="T56" t="s">
        <v>330</v>
      </c>
      <c r="V56" t="s">
        <v>330</v>
      </c>
    </row>
    <row r="57" spans="1:22" ht="15" customHeight="1" x14ac:dyDescent="0.25">
      <c r="A57">
        <v>21</v>
      </c>
      <c r="B57" t="s">
        <v>652</v>
      </c>
      <c r="C57" t="s">
        <v>639</v>
      </c>
      <c r="D57" t="s">
        <v>653</v>
      </c>
      <c r="E57" t="s">
        <v>654</v>
      </c>
      <c r="F57" t="s">
        <v>742</v>
      </c>
      <c r="G57" t="s">
        <v>744</v>
      </c>
      <c r="H57" t="s">
        <v>867</v>
      </c>
      <c r="I57" s="15" t="s">
        <v>672</v>
      </c>
      <c r="K57" t="s">
        <v>1140</v>
      </c>
      <c r="O57" t="s">
        <v>1000</v>
      </c>
      <c r="T57" t="s">
        <v>320</v>
      </c>
      <c r="V57" t="s">
        <v>330</v>
      </c>
    </row>
    <row r="58" spans="1:22" ht="15" customHeight="1" x14ac:dyDescent="0.25">
      <c r="A58">
        <v>21</v>
      </c>
      <c r="B58" t="s">
        <v>652</v>
      </c>
      <c r="C58" t="s">
        <v>639</v>
      </c>
      <c r="D58" t="s">
        <v>653</v>
      </c>
      <c r="E58" t="s">
        <v>654</v>
      </c>
      <c r="F58" t="s">
        <v>742</v>
      </c>
      <c r="G58" t="s">
        <v>744</v>
      </c>
      <c r="H58" t="s">
        <v>867</v>
      </c>
      <c r="I58" s="15" t="s">
        <v>674</v>
      </c>
      <c r="K58" t="s">
        <v>1140</v>
      </c>
      <c r="O58" t="s">
        <v>1001</v>
      </c>
      <c r="R58" t="s">
        <v>676</v>
      </c>
      <c r="T58" t="s">
        <v>330</v>
      </c>
      <c r="V58" t="s">
        <v>327</v>
      </c>
    </row>
    <row r="59" spans="1:22" ht="15" customHeight="1" x14ac:dyDescent="0.25">
      <c r="A59">
        <v>21</v>
      </c>
      <c r="B59" t="s">
        <v>652</v>
      </c>
      <c r="C59" t="s">
        <v>639</v>
      </c>
      <c r="D59" t="s">
        <v>653</v>
      </c>
      <c r="E59" t="s">
        <v>654</v>
      </c>
      <c r="F59" t="s">
        <v>742</v>
      </c>
      <c r="G59" t="s">
        <v>744</v>
      </c>
      <c r="H59" t="s">
        <v>867</v>
      </c>
      <c r="I59" s="15" t="s">
        <v>677</v>
      </c>
      <c r="K59" t="s">
        <v>1139</v>
      </c>
      <c r="O59" t="s">
        <v>1001</v>
      </c>
      <c r="P59" s="6" t="s">
        <v>678</v>
      </c>
      <c r="R59" t="s">
        <v>676</v>
      </c>
      <c r="T59" t="s">
        <v>330</v>
      </c>
      <c r="V59" t="s">
        <v>330</v>
      </c>
    </row>
    <row r="60" spans="1:22" ht="15" customHeight="1" x14ac:dyDescent="0.25">
      <c r="A60">
        <v>21</v>
      </c>
      <c r="B60" t="s">
        <v>652</v>
      </c>
      <c r="C60" t="s">
        <v>639</v>
      </c>
      <c r="D60" t="s">
        <v>653</v>
      </c>
      <c r="E60" t="s">
        <v>654</v>
      </c>
      <c r="F60" t="s">
        <v>742</v>
      </c>
      <c r="G60" t="s">
        <v>744</v>
      </c>
      <c r="H60" t="s">
        <v>867</v>
      </c>
      <c r="I60" s="15" t="s">
        <v>679</v>
      </c>
      <c r="K60" t="s">
        <v>1140</v>
      </c>
      <c r="O60" t="s">
        <v>1002</v>
      </c>
      <c r="P60" s="6" t="s">
        <v>681</v>
      </c>
      <c r="R60" t="s">
        <v>671</v>
      </c>
      <c r="T60" t="s">
        <v>320</v>
      </c>
      <c r="V60" t="s">
        <v>658</v>
      </c>
    </row>
    <row r="61" spans="1:22" ht="15" customHeight="1" x14ac:dyDescent="0.25">
      <c r="A61">
        <v>21</v>
      </c>
      <c r="B61" t="s">
        <v>652</v>
      </c>
      <c r="C61" t="s">
        <v>639</v>
      </c>
      <c r="D61" t="s">
        <v>653</v>
      </c>
      <c r="E61" t="s">
        <v>654</v>
      </c>
      <c r="F61" t="s">
        <v>742</v>
      </c>
      <c r="G61" t="s">
        <v>744</v>
      </c>
      <c r="H61" t="s">
        <v>867</v>
      </c>
      <c r="I61" s="15" t="s">
        <v>682</v>
      </c>
      <c r="K61" t="s">
        <v>1140</v>
      </c>
      <c r="O61" t="s">
        <v>1001</v>
      </c>
      <c r="R61" t="s">
        <v>676</v>
      </c>
      <c r="T61" t="s">
        <v>320</v>
      </c>
      <c r="V61" t="s">
        <v>658</v>
      </c>
    </row>
    <row r="62" spans="1:22" ht="15" customHeight="1" x14ac:dyDescent="0.25">
      <c r="A62">
        <v>21</v>
      </c>
      <c r="B62" t="s">
        <v>652</v>
      </c>
      <c r="C62" t="s">
        <v>639</v>
      </c>
      <c r="D62" t="s">
        <v>653</v>
      </c>
      <c r="E62" t="s">
        <v>654</v>
      </c>
      <c r="F62" t="s">
        <v>742</v>
      </c>
      <c r="G62" t="s">
        <v>744</v>
      </c>
      <c r="H62" t="s">
        <v>867</v>
      </c>
      <c r="I62" s="15" t="s">
        <v>683</v>
      </c>
      <c r="K62" t="s">
        <v>1139</v>
      </c>
      <c r="O62" t="s">
        <v>1003</v>
      </c>
      <c r="P62" s="6" t="s">
        <v>685</v>
      </c>
      <c r="T62" t="s">
        <v>320</v>
      </c>
      <c r="V62" t="s">
        <v>658</v>
      </c>
    </row>
    <row r="63" spans="1:22" ht="15" customHeight="1" x14ac:dyDescent="0.25">
      <c r="A63">
        <v>2</v>
      </c>
      <c r="B63" t="s">
        <v>36</v>
      </c>
      <c r="C63" t="s">
        <v>22</v>
      </c>
      <c r="D63" t="s">
        <v>37</v>
      </c>
      <c r="E63" t="s">
        <v>38</v>
      </c>
      <c r="F63" t="s">
        <v>27</v>
      </c>
      <c r="G63" t="s">
        <v>744</v>
      </c>
      <c r="H63" t="s">
        <v>867</v>
      </c>
      <c r="J63" s="15" t="s">
        <v>51</v>
      </c>
      <c r="R63" s="30"/>
    </row>
    <row r="64" spans="1:22" ht="15" customHeight="1" x14ac:dyDescent="0.25">
      <c r="A64">
        <v>2</v>
      </c>
      <c r="B64" t="s">
        <v>36</v>
      </c>
      <c r="C64" t="s">
        <v>22</v>
      </c>
      <c r="D64" t="s">
        <v>37</v>
      </c>
      <c r="E64" t="s">
        <v>38</v>
      </c>
      <c r="F64" t="s">
        <v>27</v>
      </c>
      <c r="G64" t="s">
        <v>744</v>
      </c>
      <c r="H64" t="s">
        <v>867</v>
      </c>
      <c r="J64" s="15" t="s">
        <v>53</v>
      </c>
      <c r="R64" t="s">
        <v>1033</v>
      </c>
    </row>
    <row r="65" spans="1:22" ht="15" customHeight="1" x14ac:dyDescent="0.25">
      <c r="A65">
        <v>14</v>
      </c>
      <c r="B65" t="s">
        <v>400</v>
      </c>
      <c r="C65" t="s">
        <v>313</v>
      </c>
      <c r="D65" t="s">
        <v>401</v>
      </c>
      <c r="E65" t="s">
        <v>402</v>
      </c>
      <c r="F65" t="s">
        <v>27</v>
      </c>
      <c r="G65" t="s">
        <v>744</v>
      </c>
      <c r="H65" t="s">
        <v>867</v>
      </c>
      <c r="I65" s="15" t="s">
        <v>51</v>
      </c>
      <c r="J65" s="15" t="s">
        <v>443</v>
      </c>
      <c r="K65" t="s">
        <v>923</v>
      </c>
      <c r="M65" t="s">
        <v>387</v>
      </c>
      <c r="N65" t="s">
        <v>435</v>
      </c>
      <c r="O65">
        <v>5</v>
      </c>
      <c r="R65" t="s">
        <v>447</v>
      </c>
      <c r="S65" t="s">
        <v>418</v>
      </c>
    </row>
    <row r="66" spans="1:22" ht="15" customHeight="1" x14ac:dyDescent="0.25">
      <c r="A66">
        <v>15</v>
      </c>
      <c r="B66" t="s">
        <v>542</v>
      </c>
      <c r="C66" t="s">
        <v>543</v>
      </c>
      <c r="D66" t="s">
        <v>544</v>
      </c>
      <c r="E66" t="s">
        <v>545</v>
      </c>
      <c r="F66" t="s">
        <v>27</v>
      </c>
      <c r="G66" t="s">
        <v>744</v>
      </c>
      <c r="H66" t="s">
        <v>867</v>
      </c>
      <c r="I66" s="15" t="s">
        <v>553</v>
      </c>
      <c r="R66" s="6" t="s">
        <v>554</v>
      </c>
      <c r="T66" t="s">
        <v>320</v>
      </c>
      <c r="U66" t="s">
        <v>1045</v>
      </c>
    </row>
    <row r="67" spans="1:22" ht="15" customHeight="1" x14ac:dyDescent="0.25">
      <c r="A67">
        <v>15</v>
      </c>
      <c r="B67" t="s">
        <v>542</v>
      </c>
      <c r="C67" t="s">
        <v>543</v>
      </c>
      <c r="D67" t="s">
        <v>544</v>
      </c>
      <c r="E67" t="s">
        <v>562</v>
      </c>
      <c r="F67" t="s">
        <v>738</v>
      </c>
      <c r="G67" t="s">
        <v>744</v>
      </c>
      <c r="H67" t="s">
        <v>867</v>
      </c>
      <c r="I67" s="15" t="s">
        <v>568</v>
      </c>
      <c r="K67" t="s">
        <v>1141</v>
      </c>
      <c r="M67" t="s">
        <v>435</v>
      </c>
      <c r="O67" s="11" t="s">
        <v>371</v>
      </c>
    </row>
    <row r="68" spans="1:22" ht="15" customHeight="1" x14ac:dyDescent="0.25">
      <c r="A68">
        <v>21</v>
      </c>
      <c r="B68" t="s">
        <v>652</v>
      </c>
      <c r="C68" t="s">
        <v>639</v>
      </c>
      <c r="D68" t="s">
        <v>653</v>
      </c>
      <c r="E68" t="s">
        <v>654</v>
      </c>
      <c r="F68" t="s">
        <v>742</v>
      </c>
      <c r="G68" t="s">
        <v>744</v>
      </c>
      <c r="H68" t="s">
        <v>867</v>
      </c>
      <c r="I68" s="15" t="s">
        <v>655</v>
      </c>
      <c r="K68" t="s">
        <v>1139</v>
      </c>
      <c r="O68" t="s">
        <v>1001</v>
      </c>
      <c r="P68" s="6" t="s">
        <v>657</v>
      </c>
      <c r="T68" t="s">
        <v>660</v>
      </c>
      <c r="V68" t="s">
        <v>330</v>
      </c>
    </row>
    <row r="69" spans="1:22" ht="15" customHeight="1" x14ac:dyDescent="0.25">
      <c r="A69">
        <v>6</v>
      </c>
      <c r="B69" t="s">
        <v>112</v>
      </c>
      <c r="C69" t="s">
        <v>57</v>
      </c>
      <c r="D69" t="s">
        <v>113</v>
      </c>
      <c r="E69" t="s">
        <v>24</v>
      </c>
      <c r="F69" t="s">
        <v>722</v>
      </c>
      <c r="G69" t="s">
        <v>744</v>
      </c>
      <c r="H69" t="s">
        <v>865</v>
      </c>
      <c r="I69" s="15" t="s">
        <v>115</v>
      </c>
      <c r="J69" s="15" t="s">
        <v>114</v>
      </c>
      <c r="K69" t="s">
        <v>935</v>
      </c>
      <c r="L69" t="s">
        <v>936</v>
      </c>
    </row>
    <row r="70" spans="1:22" ht="15" customHeight="1" x14ac:dyDescent="0.25">
      <c r="A70">
        <v>14</v>
      </c>
      <c r="B70" t="s">
        <v>400</v>
      </c>
      <c r="C70" t="s">
        <v>313</v>
      </c>
      <c r="D70" t="s">
        <v>401</v>
      </c>
      <c r="E70" t="s">
        <v>402</v>
      </c>
      <c r="F70" t="s">
        <v>27</v>
      </c>
      <c r="G70" t="s">
        <v>744</v>
      </c>
      <c r="H70" t="s">
        <v>865</v>
      </c>
      <c r="I70" s="15" t="s">
        <v>442</v>
      </c>
      <c r="J70" s="15" t="s">
        <v>443</v>
      </c>
      <c r="K70" t="s">
        <v>931</v>
      </c>
      <c r="M70" t="s">
        <v>407</v>
      </c>
      <c r="N70">
        <v>95</v>
      </c>
      <c r="O70">
        <v>1600</v>
      </c>
      <c r="R70" t="s">
        <v>448</v>
      </c>
      <c r="S70" t="s">
        <v>418</v>
      </c>
    </row>
    <row r="71" spans="1:22" ht="15" customHeight="1" x14ac:dyDescent="0.25">
      <c r="A71">
        <v>15</v>
      </c>
      <c r="B71" t="s">
        <v>542</v>
      </c>
      <c r="C71" t="s">
        <v>543</v>
      </c>
      <c r="D71" t="s">
        <v>544</v>
      </c>
      <c r="E71" t="s">
        <v>562</v>
      </c>
      <c r="F71" t="s">
        <v>738</v>
      </c>
      <c r="G71" t="s">
        <v>744</v>
      </c>
      <c r="H71" t="s">
        <v>865</v>
      </c>
      <c r="I71" s="15" t="s">
        <v>567</v>
      </c>
      <c r="K71" t="s">
        <v>1138</v>
      </c>
      <c r="M71" t="s">
        <v>347</v>
      </c>
      <c r="P71" s="6" t="s">
        <v>330</v>
      </c>
    </row>
    <row r="72" spans="1:22" ht="15" customHeight="1" x14ac:dyDescent="0.25">
      <c r="A72">
        <v>16</v>
      </c>
      <c r="B72" t="s">
        <v>570</v>
      </c>
      <c r="C72" t="s">
        <v>543</v>
      </c>
      <c r="D72" t="s">
        <v>571</v>
      </c>
      <c r="E72" t="s">
        <v>59</v>
      </c>
      <c r="F72" t="s">
        <v>27</v>
      </c>
      <c r="G72" t="s">
        <v>744</v>
      </c>
      <c r="H72" t="s">
        <v>865</v>
      </c>
      <c r="I72" s="15" t="s">
        <v>567</v>
      </c>
      <c r="K72" t="s">
        <v>923</v>
      </c>
      <c r="N72" s="6" t="s">
        <v>978</v>
      </c>
    </row>
    <row r="73" spans="1:22" s="4" customFormat="1" ht="15" customHeight="1" x14ac:dyDescent="0.25">
      <c r="I73" s="22"/>
      <c r="J73" s="22"/>
    </row>
    <row r="74" spans="1:22" ht="15" customHeight="1" x14ac:dyDescent="0.25">
      <c r="A74">
        <v>5</v>
      </c>
      <c r="B74" t="s">
        <v>96</v>
      </c>
      <c r="C74" t="s">
        <v>57</v>
      </c>
      <c r="D74" t="s">
        <v>97</v>
      </c>
      <c r="E74" t="s">
        <v>98</v>
      </c>
      <c r="F74" t="s">
        <v>724</v>
      </c>
      <c r="G74" t="s">
        <v>788</v>
      </c>
      <c r="H74" t="s">
        <v>875</v>
      </c>
      <c r="I74" s="15" t="s">
        <v>110</v>
      </c>
      <c r="K74" s="11" t="s">
        <v>931</v>
      </c>
      <c r="P74" s="6" t="s">
        <v>102</v>
      </c>
      <c r="V74" t="s">
        <v>101</v>
      </c>
    </row>
    <row r="75" spans="1:22" ht="15" customHeight="1" x14ac:dyDescent="0.25">
      <c r="A75">
        <v>14</v>
      </c>
      <c r="B75" t="s">
        <v>400</v>
      </c>
      <c r="C75" t="s">
        <v>313</v>
      </c>
      <c r="D75" t="s">
        <v>401</v>
      </c>
      <c r="E75" t="s">
        <v>402</v>
      </c>
      <c r="F75" t="s">
        <v>27</v>
      </c>
      <c r="G75" t="s">
        <v>788</v>
      </c>
      <c r="H75" t="s">
        <v>875</v>
      </c>
      <c r="I75" s="15" t="s">
        <v>463</v>
      </c>
      <c r="J75" s="15" t="s">
        <v>466</v>
      </c>
      <c r="K75" t="s">
        <v>931</v>
      </c>
      <c r="M75" t="s">
        <v>387</v>
      </c>
      <c r="N75" t="s">
        <v>387</v>
      </c>
      <c r="O75">
        <v>10000</v>
      </c>
      <c r="R75" t="s">
        <v>459</v>
      </c>
      <c r="S75" t="s">
        <v>468</v>
      </c>
    </row>
    <row r="76" spans="1:22" ht="15" customHeight="1" x14ac:dyDescent="0.25">
      <c r="A76">
        <v>14</v>
      </c>
      <c r="B76" t="s">
        <v>400</v>
      </c>
      <c r="C76" t="s">
        <v>313</v>
      </c>
      <c r="D76" t="s">
        <v>401</v>
      </c>
      <c r="E76" t="s">
        <v>402</v>
      </c>
      <c r="F76" t="s">
        <v>27</v>
      </c>
      <c r="G76" t="s">
        <v>788</v>
      </c>
      <c r="H76" t="s">
        <v>875</v>
      </c>
      <c r="I76" s="15" t="s">
        <v>464</v>
      </c>
      <c r="J76" s="15" t="s">
        <v>466</v>
      </c>
      <c r="K76" t="s">
        <v>931</v>
      </c>
      <c r="M76" t="s">
        <v>387</v>
      </c>
      <c r="N76" t="s">
        <v>387</v>
      </c>
      <c r="O76">
        <v>10000</v>
      </c>
      <c r="R76" t="s">
        <v>459</v>
      </c>
      <c r="S76" t="s">
        <v>468</v>
      </c>
    </row>
    <row r="77" spans="1:22" ht="15" customHeight="1" x14ac:dyDescent="0.25">
      <c r="A77">
        <v>14</v>
      </c>
      <c r="B77" t="s">
        <v>400</v>
      </c>
      <c r="C77" t="s">
        <v>313</v>
      </c>
      <c r="D77" t="s">
        <v>401</v>
      </c>
      <c r="E77" t="s">
        <v>402</v>
      </c>
      <c r="F77" t="s">
        <v>27</v>
      </c>
      <c r="G77" t="s">
        <v>788</v>
      </c>
      <c r="H77" t="s">
        <v>875</v>
      </c>
      <c r="I77" s="15" t="s">
        <v>465</v>
      </c>
      <c r="J77" s="15" t="s">
        <v>466</v>
      </c>
      <c r="K77" t="s">
        <v>931</v>
      </c>
      <c r="M77" t="s">
        <v>387</v>
      </c>
      <c r="N77" t="s">
        <v>387</v>
      </c>
      <c r="O77">
        <v>10000</v>
      </c>
      <c r="R77" t="s">
        <v>459</v>
      </c>
      <c r="S77" t="s">
        <v>468</v>
      </c>
    </row>
    <row r="78" spans="1:22" ht="15" customHeight="1" x14ac:dyDescent="0.25">
      <c r="A78">
        <v>13</v>
      </c>
      <c r="B78" t="s">
        <v>335</v>
      </c>
      <c r="C78" t="s">
        <v>313</v>
      </c>
      <c r="D78" t="s">
        <v>336</v>
      </c>
      <c r="E78" t="s">
        <v>59</v>
      </c>
      <c r="F78" t="s">
        <v>737</v>
      </c>
      <c r="G78" t="s">
        <v>788</v>
      </c>
      <c r="H78" t="s">
        <v>876</v>
      </c>
      <c r="I78" s="15" t="s">
        <v>358</v>
      </c>
      <c r="J78" s="15" t="s">
        <v>363</v>
      </c>
      <c r="K78" t="s">
        <v>926</v>
      </c>
      <c r="M78" t="s">
        <v>359</v>
      </c>
    </row>
    <row r="79" spans="1:22" ht="15" customHeight="1" x14ac:dyDescent="0.25">
      <c r="A79">
        <v>13</v>
      </c>
      <c r="B79" t="s">
        <v>335</v>
      </c>
      <c r="C79" t="s">
        <v>313</v>
      </c>
      <c r="D79" t="s">
        <v>336</v>
      </c>
      <c r="E79" t="s">
        <v>59</v>
      </c>
      <c r="F79" t="s">
        <v>737</v>
      </c>
      <c r="G79" t="s">
        <v>788</v>
      </c>
      <c r="H79" t="s">
        <v>876</v>
      </c>
      <c r="I79" s="15" t="s">
        <v>365</v>
      </c>
      <c r="J79" s="15" t="s">
        <v>363</v>
      </c>
      <c r="K79" t="s">
        <v>926</v>
      </c>
      <c r="M79" t="s">
        <v>362</v>
      </c>
    </row>
    <row r="80" spans="1:22" ht="15" customHeight="1" x14ac:dyDescent="0.25">
      <c r="A80">
        <v>7</v>
      </c>
      <c r="B80" t="s">
        <v>143</v>
      </c>
      <c r="C80" t="s">
        <v>57</v>
      </c>
      <c r="D80" t="s">
        <v>144</v>
      </c>
      <c r="E80" t="s">
        <v>145</v>
      </c>
      <c r="F80" t="s">
        <v>27</v>
      </c>
      <c r="G80" t="s">
        <v>788</v>
      </c>
      <c r="H80" t="s">
        <v>876</v>
      </c>
      <c r="I80" s="15" t="s">
        <v>153</v>
      </c>
      <c r="K80" t="s">
        <v>937</v>
      </c>
      <c r="M80" t="s">
        <v>347</v>
      </c>
      <c r="O80" t="s">
        <v>1004</v>
      </c>
    </row>
    <row r="81" spans="1:22" ht="15" customHeight="1" x14ac:dyDescent="0.25">
      <c r="A81">
        <v>13</v>
      </c>
      <c r="B81" t="s">
        <v>335</v>
      </c>
      <c r="C81" t="s">
        <v>313</v>
      </c>
      <c r="D81" t="s">
        <v>336</v>
      </c>
      <c r="E81" t="s">
        <v>59</v>
      </c>
      <c r="F81" t="s">
        <v>737</v>
      </c>
      <c r="G81" t="s">
        <v>788</v>
      </c>
      <c r="H81" t="s">
        <v>876</v>
      </c>
      <c r="I81" s="15" t="s">
        <v>356</v>
      </c>
      <c r="K81" t="s">
        <v>941</v>
      </c>
      <c r="M81" t="s">
        <v>338</v>
      </c>
    </row>
    <row r="82" spans="1:22" ht="15" customHeight="1" x14ac:dyDescent="0.25">
      <c r="A82">
        <v>13</v>
      </c>
      <c r="B82" t="s">
        <v>335</v>
      </c>
      <c r="C82" t="s">
        <v>313</v>
      </c>
      <c r="D82" t="s">
        <v>336</v>
      </c>
      <c r="E82" t="s">
        <v>59</v>
      </c>
      <c r="F82" t="s">
        <v>737</v>
      </c>
      <c r="G82" t="s">
        <v>788</v>
      </c>
      <c r="H82" t="s">
        <v>876</v>
      </c>
      <c r="I82" s="15" t="s">
        <v>356</v>
      </c>
      <c r="K82" t="s">
        <v>926</v>
      </c>
      <c r="M82" t="s">
        <v>345</v>
      </c>
    </row>
    <row r="83" spans="1:22" ht="15" customHeight="1" x14ac:dyDescent="0.25">
      <c r="A83">
        <v>13</v>
      </c>
      <c r="B83" t="s">
        <v>335</v>
      </c>
      <c r="C83" t="s">
        <v>313</v>
      </c>
      <c r="D83" t="s">
        <v>336</v>
      </c>
      <c r="E83" t="s">
        <v>59</v>
      </c>
      <c r="F83" t="s">
        <v>737</v>
      </c>
      <c r="G83" t="s">
        <v>788</v>
      </c>
      <c r="H83" t="s">
        <v>876</v>
      </c>
      <c r="I83" s="15" t="s">
        <v>356</v>
      </c>
      <c r="K83" t="s">
        <v>931</v>
      </c>
      <c r="M83" t="s">
        <v>347</v>
      </c>
    </row>
    <row r="84" spans="1:22" ht="15" customHeight="1" x14ac:dyDescent="0.25">
      <c r="A84">
        <v>13</v>
      </c>
      <c r="B84" t="s">
        <v>335</v>
      </c>
      <c r="C84" t="s">
        <v>313</v>
      </c>
      <c r="D84" t="s">
        <v>336</v>
      </c>
      <c r="E84" t="s">
        <v>59</v>
      </c>
      <c r="F84" t="s">
        <v>737</v>
      </c>
      <c r="G84" t="s">
        <v>788</v>
      </c>
      <c r="H84" t="s">
        <v>876</v>
      </c>
      <c r="I84" s="15" t="s">
        <v>356</v>
      </c>
      <c r="J84" s="15" t="s">
        <v>363</v>
      </c>
      <c r="K84" t="s">
        <v>940</v>
      </c>
      <c r="N84" s="6" t="s">
        <v>709</v>
      </c>
    </row>
    <row r="85" spans="1:22" ht="15" customHeight="1" x14ac:dyDescent="0.25">
      <c r="A85">
        <v>13</v>
      </c>
      <c r="B85" t="s">
        <v>335</v>
      </c>
      <c r="C85" t="s">
        <v>313</v>
      </c>
      <c r="D85" t="s">
        <v>336</v>
      </c>
      <c r="E85" t="s">
        <v>59</v>
      </c>
      <c r="F85" t="s">
        <v>737</v>
      </c>
      <c r="G85" t="s">
        <v>788</v>
      </c>
      <c r="H85" t="s">
        <v>876</v>
      </c>
      <c r="I85" s="15" t="s">
        <v>356</v>
      </c>
      <c r="J85" s="15" t="s">
        <v>373</v>
      </c>
      <c r="K85" t="s">
        <v>942</v>
      </c>
      <c r="N85" s="6" t="s">
        <v>709</v>
      </c>
    </row>
    <row r="86" spans="1:22" ht="15" customHeight="1" x14ac:dyDescent="0.25">
      <c r="A86">
        <v>13</v>
      </c>
      <c r="B86" t="s">
        <v>335</v>
      </c>
      <c r="C86" t="s">
        <v>313</v>
      </c>
      <c r="D86" t="s">
        <v>336</v>
      </c>
      <c r="E86" t="s">
        <v>59</v>
      </c>
      <c r="F86" t="s">
        <v>737</v>
      </c>
      <c r="G86" t="s">
        <v>788</v>
      </c>
      <c r="H86" t="s">
        <v>876</v>
      </c>
      <c r="I86" s="15" t="s">
        <v>358</v>
      </c>
      <c r="J86" s="15" t="s">
        <v>373</v>
      </c>
      <c r="K86" t="s">
        <v>943</v>
      </c>
      <c r="M86" t="s">
        <v>359</v>
      </c>
    </row>
    <row r="87" spans="1:22" ht="15" customHeight="1" x14ac:dyDescent="0.25">
      <c r="A87">
        <v>13</v>
      </c>
      <c r="B87" t="s">
        <v>335</v>
      </c>
      <c r="C87" t="s">
        <v>313</v>
      </c>
      <c r="D87" t="s">
        <v>336</v>
      </c>
      <c r="E87" t="s">
        <v>59</v>
      </c>
      <c r="F87" t="s">
        <v>737</v>
      </c>
      <c r="G87" t="s">
        <v>788</v>
      </c>
      <c r="H87" t="s">
        <v>876</v>
      </c>
      <c r="I87" s="15" t="s">
        <v>365</v>
      </c>
      <c r="J87" s="15" t="s">
        <v>373</v>
      </c>
      <c r="K87" t="s">
        <v>943</v>
      </c>
      <c r="M87" t="s">
        <v>362</v>
      </c>
    </row>
    <row r="88" spans="1:22" ht="15" customHeight="1" x14ac:dyDescent="0.25">
      <c r="A88">
        <v>4</v>
      </c>
      <c r="B88" t="s">
        <v>70</v>
      </c>
      <c r="C88" t="s">
        <v>57</v>
      </c>
      <c r="D88" t="s">
        <v>71</v>
      </c>
      <c r="E88" t="s">
        <v>24</v>
      </c>
      <c r="F88" t="s">
        <v>27</v>
      </c>
      <c r="G88" t="s">
        <v>788</v>
      </c>
      <c r="H88" t="s">
        <v>876</v>
      </c>
      <c r="I88" s="15" t="s">
        <v>84</v>
      </c>
      <c r="J88" s="15" t="s">
        <v>72</v>
      </c>
      <c r="V88" t="s">
        <v>83</v>
      </c>
    </row>
    <row r="89" spans="1:22" ht="15" customHeight="1" x14ac:dyDescent="0.25">
      <c r="A89">
        <v>5</v>
      </c>
      <c r="B89" t="s">
        <v>96</v>
      </c>
      <c r="C89" t="s">
        <v>57</v>
      </c>
      <c r="D89" t="s">
        <v>97</v>
      </c>
      <c r="E89" t="s">
        <v>98</v>
      </c>
      <c r="F89" t="s">
        <v>724</v>
      </c>
      <c r="G89" t="s">
        <v>788</v>
      </c>
      <c r="H89" t="s">
        <v>876</v>
      </c>
      <c r="I89" s="15" t="s">
        <v>109</v>
      </c>
      <c r="K89" s="11" t="s">
        <v>945</v>
      </c>
      <c r="P89" s="6" t="s">
        <v>105</v>
      </c>
      <c r="V89" t="s">
        <v>102</v>
      </c>
    </row>
    <row r="90" spans="1:22" ht="15" customHeight="1" x14ac:dyDescent="0.25">
      <c r="A90">
        <v>5</v>
      </c>
      <c r="B90" t="s">
        <v>96</v>
      </c>
      <c r="C90" t="s">
        <v>57</v>
      </c>
      <c r="D90" t="s">
        <v>97</v>
      </c>
      <c r="E90" t="s">
        <v>98</v>
      </c>
      <c r="F90" t="s">
        <v>724</v>
      </c>
      <c r="G90" t="s">
        <v>788</v>
      </c>
      <c r="H90" t="s">
        <v>876</v>
      </c>
      <c r="I90" s="15" t="s">
        <v>111</v>
      </c>
      <c r="K90" s="11" t="s">
        <v>924</v>
      </c>
      <c r="P90" s="6" t="s">
        <v>102</v>
      </c>
      <c r="V90" t="s">
        <v>105</v>
      </c>
    </row>
    <row r="91" spans="1:22" ht="15" customHeight="1" x14ac:dyDescent="0.25">
      <c r="A91">
        <v>10</v>
      </c>
      <c r="B91" t="s">
        <v>233</v>
      </c>
      <c r="C91" t="s">
        <v>223</v>
      </c>
      <c r="D91" t="s">
        <v>234</v>
      </c>
      <c r="E91" t="s">
        <v>235</v>
      </c>
      <c r="F91" t="s">
        <v>704</v>
      </c>
      <c r="G91" t="s">
        <v>788</v>
      </c>
      <c r="H91" t="s">
        <v>876</v>
      </c>
      <c r="I91" s="15" t="s">
        <v>236</v>
      </c>
      <c r="K91" t="s">
        <v>944</v>
      </c>
      <c r="M91" t="s">
        <v>979</v>
      </c>
      <c r="O91" t="s">
        <v>979</v>
      </c>
      <c r="R91">
        <v>500</v>
      </c>
      <c r="S91" t="s">
        <v>241</v>
      </c>
    </row>
    <row r="92" spans="1:22" ht="15" customHeight="1" x14ac:dyDescent="0.25">
      <c r="A92">
        <v>14</v>
      </c>
      <c r="B92" t="s">
        <v>400</v>
      </c>
      <c r="C92" t="s">
        <v>313</v>
      </c>
      <c r="D92" t="s">
        <v>401</v>
      </c>
      <c r="E92" t="s">
        <v>402</v>
      </c>
      <c r="F92" t="s">
        <v>27</v>
      </c>
      <c r="G92" t="s">
        <v>788</v>
      </c>
      <c r="H92" t="s">
        <v>876</v>
      </c>
      <c r="I92" s="15" t="s">
        <v>138</v>
      </c>
      <c r="J92" s="15" t="s">
        <v>403</v>
      </c>
      <c r="K92" t="s">
        <v>932</v>
      </c>
      <c r="M92" t="s">
        <v>347</v>
      </c>
      <c r="N92" t="s">
        <v>347</v>
      </c>
      <c r="O92">
        <v>1000</v>
      </c>
      <c r="R92" t="s">
        <v>414</v>
      </c>
      <c r="S92" t="s">
        <v>421</v>
      </c>
    </row>
    <row r="93" spans="1:22" s="14" customFormat="1" ht="15" customHeight="1" x14ac:dyDescent="0.25">
      <c r="A93">
        <v>20</v>
      </c>
      <c r="B93" t="s">
        <v>638</v>
      </c>
      <c r="C93" t="s">
        <v>639</v>
      </c>
      <c r="D93" t="s">
        <v>640</v>
      </c>
      <c r="E93" t="s">
        <v>545</v>
      </c>
      <c r="F93" t="s">
        <v>741</v>
      </c>
      <c r="G93" t="s">
        <v>788</v>
      </c>
      <c r="H93" t="s">
        <v>876</v>
      </c>
      <c r="I93" s="15" t="s">
        <v>641</v>
      </c>
      <c r="J93" s="15"/>
      <c r="K93" t="s">
        <v>933</v>
      </c>
      <c r="L93"/>
      <c r="M93" t="s">
        <v>387</v>
      </c>
      <c r="N93"/>
      <c r="O93"/>
      <c r="P93"/>
      <c r="Q93" t="s">
        <v>694</v>
      </c>
      <c r="R93"/>
      <c r="S93"/>
      <c r="T93"/>
      <c r="U93"/>
      <c r="V93"/>
    </row>
    <row r="94" spans="1:22" s="14" customFormat="1" ht="15" customHeight="1" x14ac:dyDescent="0.25">
      <c r="A94">
        <v>22</v>
      </c>
      <c r="B94" t="s">
        <v>687</v>
      </c>
      <c r="C94" t="s">
        <v>688</v>
      </c>
      <c r="D94" t="s">
        <v>689</v>
      </c>
      <c r="E94" t="s">
        <v>545</v>
      </c>
      <c r="F94" t="s">
        <v>743</v>
      </c>
      <c r="G94" t="s">
        <v>788</v>
      </c>
      <c r="H94" t="s">
        <v>876</v>
      </c>
      <c r="I94" s="15" t="s">
        <v>695</v>
      </c>
      <c r="J94" s="15"/>
      <c r="K94" t="s">
        <v>933</v>
      </c>
      <c r="L94"/>
      <c r="M94" t="s">
        <v>387</v>
      </c>
      <c r="N94"/>
      <c r="O94"/>
      <c r="P94"/>
      <c r="Q94" t="s">
        <v>694</v>
      </c>
      <c r="R94"/>
      <c r="S94"/>
      <c r="T94"/>
      <c r="U94"/>
      <c r="V94"/>
    </row>
    <row r="95" spans="1:22" ht="15" customHeight="1" x14ac:dyDescent="0.25">
      <c r="A95">
        <v>2</v>
      </c>
      <c r="B95" t="s">
        <v>36</v>
      </c>
      <c r="C95" t="s">
        <v>22</v>
      </c>
      <c r="D95" t="s">
        <v>37</v>
      </c>
      <c r="E95" t="s">
        <v>38</v>
      </c>
      <c r="F95" t="s">
        <v>27</v>
      </c>
      <c r="G95" t="s">
        <v>788</v>
      </c>
      <c r="H95" t="s">
        <v>873</v>
      </c>
      <c r="J95" s="15" t="s">
        <v>39</v>
      </c>
      <c r="R95" t="s">
        <v>1034</v>
      </c>
    </row>
    <row r="96" spans="1:22" ht="15" customHeight="1" x14ac:dyDescent="0.25">
      <c r="A96">
        <v>6</v>
      </c>
      <c r="B96" t="s">
        <v>112</v>
      </c>
      <c r="C96" t="s">
        <v>57</v>
      </c>
      <c r="D96" t="s">
        <v>113</v>
      </c>
      <c r="E96" t="s">
        <v>24</v>
      </c>
      <c r="F96" t="s">
        <v>722</v>
      </c>
      <c r="G96" t="s">
        <v>788</v>
      </c>
      <c r="H96" t="s">
        <v>873</v>
      </c>
      <c r="I96" s="15" t="s">
        <v>119</v>
      </c>
      <c r="J96" s="15" t="s">
        <v>118</v>
      </c>
      <c r="K96" t="s">
        <v>950</v>
      </c>
    </row>
    <row r="97" spans="1:19" ht="15" customHeight="1" x14ac:dyDescent="0.25">
      <c r="A97">
        <v>3</v>
      </c>
      <c r="B97" t="s">
        <v>56</v>
      </c>
      <c r="C97" t="s">
        <v>57</v>
      </c>
      <c r="D97" t="s">
        <v>58</v>
      </c>
      <c r="E97" t="s">
        <v>59</v>
      </c>
      <c r="F97" t="s">
        <v>726</v>
      </c>
      <c r="G97" t="s">
        <v>788</v>
      </c>
      <c r="H97" t="s">
        <v>873</v>
      </c>
      <c r="I97" s="15" t="s">
        <v>747</v>
      </c>
      <c r="J97" s="15" t="s">
        <v>745</v>
      </c>
      <c r="L97" s="6" t="s">
        <v>65</v>
      </c>
      <c r="N97" s="6" t="s">
        <v>982</v>
      </c>
      <c r="P97" s="6" t="s">
        <v>64</v>
      </c>
      <c r="R97" t="s">
        <v>1035</v>
      </c>
      <c r="S97" t="s">
        <v>728</v>
      </c>
    </row>
    <row r="98" spans="1:19" ht="15" customHeight="1" x14ac:dyDescent="0.25">
      <c r="A98">
        <v>3</v>
      </c>
      <c r="B98" t="s">
        <v>56</v>
      </c>
      <c r="C98" t="s">
        <v>57</v>
      </c>
      <c r="D98" t="s">
        <v>58</v>
      </c>
      <c r="E98" t="s">
        <v>59</v>
      </c>
      <c r="F98" t="s">
        <v>726</v>
      </c>
      <c r="G98" t="s">
        <v>788</v>
      </c>
      <c r="H98" t="s">
        <v>873</v>
      </c>
      <c r="I98" s="15" t="s">
        <v>747</v>
      </c>
      <c r="J98" s="15" t="s">
        <v>746</v>
      </c>
      <c r="K98" t="s">
        <v>946</v>
      </c>
      <c r="L98" t="s">
        <v>959</v>
      </c>
      <c r="N98" s="6" t="s">
        <v>982</v>
      </c>
      <c r="P98" s="6" t="s">
        <v>67</v>
      </c>
      <c r="R98" t="s">
        <v>1035</v>
      </c>
      <c r="S98" t="s">
        <v>728</v>
      </c>
    </row>
    <row r="99" spans="1:19" ht="15" customHeight="1" x14ac:dyDescent="0.25">
      <c r="A99">
        <v>6</v>
      </c>
      <c r="B99" t="s">
        <v>112</v>
      </c>
      <c r="C99" t="s">
        <v>57</v>
      </c>
      <c r="D99" t="s">
        <v>113</v>
      </c>
      <c r="E99" t="s">
        <v>24</v>
      </c>
      <c r="F99" t="s">
        <v>722</v>
      </c>
      <c r="G99" t="s">
        <v>788</v>
      </c>
      <c r="H99" t="s">
        <v>873</v>
      </c>
      <c r="I99" s="15" t="s">
        <v>121</v>
      </c>
      <c r="J99" s="15" t="s">
        <v>118</v>
      </c>
      <c r="K99" t="s">
        <v>947</v>
      </c>
      <c r="L99" s="6" t="s">
        <v>123</v>
      </c>
    </row>
    <row r="100" spans="1:19" ht="15" customHeight="1" x14ac:dyDescent="0.25">
      <c r="A100">
        <v>8</v>
      </c>
      <c r="B100" t="s">
        <v>157</v>
      </c>
      <c r="C100" t="s">
        <v>57</v>
      </c>
      <c r="D100" t="s">
        <v>158</v>
      </c>
      <c r="E100" t="s">
        <v>159</v>
      </c>
      <c r="F100" t="s">
        <v>715</v>
      </c>
      <c r="G100" t="s">
        <v>788</v>
      </c>
      <c r="H100" t="s">
        <v>873</v>
      </c>
      <c r="I100" s="15" t="s">
        <v>169</v>
      </c>
      <c r="J100" s="15" t="s">
        <v>160</v>
      </c>
      <c r="K100" t="s">
        <v>929</v>
      </c>
      <c r="M100" t="s">
        <v>407</v>
      </c>
      <c r="O100" t="s">
        <v>916</v>
      </c>
      <c r="S100" t="s">
        <v>168</v>
      </c>
    </row>
    <row r="101" spans="1:19" ht="15" customHeight="1" x14ac:dyDescent="0.25">
      <c r="A101">
        <v>10</v>
      </c>
      <c r="B101" t="s">
        <v>233</v>
      </c>
      <c r="C101" t="s">
        <v>223</v>
      </c>
      <c r="D101" t="s">
        <v>234</v>
      </c>
      <c r="E101" t="s">
        <v>235</v>
      </c>
      <c r="F101" t="s">
        <v>704</v>
      </c>
      <c r="G101" t="s">
        <v>788</v>
      </c>
      <c r="H101" t="s">
        <v>873</v>
      </c>
      <c r="I101" s="15" t="s">
        <v>242</v>
      </c>
      <c r="K101" t="s">
        <v>948</v>
      </c>
      <c r="M101" s="2" t="s">
        <v>979</v>
      </c>
      <c r="O101" t="s">
        <v>1005</v>
      </c>
      <c r="R101" t="s">
        <v>252</v>
      </c>
      <c r="S101" t="s">
        <v>246</v>
      </c>
    </row>
    <row r="102" spans="1:19" ht="15" customHeight="1" x14ac:dyDescent="0.25">
      <c r="A102">
        <v>10</v>
      </c>
      <c r="B102" t="s">
        <v>233</v>
      </c>
      <c r="C102" t="s">
        <v>223</v>
      </c>
      <c r="D102" t="s">
        <v>234</v>
      </c>
      <c r="E102" t="s">
        <v>235</v>
      </c>
      <c r="F102" t="s">
        <v>704</v>
      </c>
      <c r="G102" t="s">
        <v>788</v>
      </c>
      <c r="H102" t="s">
        <v>873</v>
      </c>
      <c r="I102" s="15" t="s">
        <v>247</v>
      </c>
      <c r="K102" t="s">
        <v>948</v>
      </c>
      <c r="M102" s="2" t="s">
        <v>980</v>
      </c>
      <c r="O102" t="s">
        <v>1005</v>
      </c>
      <c r="R102" t="s">
        <v>252</v>
      </c>
      <c r="S102" t="s">
        <v>246</v>
      </c>
    </row>
    <row r="103" spans="1:19" ht="15" customHeight="1" x14ac:dyDescent="0.25">
      <c r="A103">
        <v>10</v>
      </c>
      <c r="B103" t="s">
        <v>233</v>
      </c>
      <c r="C103" t="s">
        <v>223</v>
      </c>
      <c r="D103" t="s">
        <v>234</v>
      </c>
      <c r="E103" t="s">
        <v>235</v>
      </c>
      <c r="F103" t="s">
        <v>704</v>
      </c>
      <c r="G103" t="s">
        <v>788</v>
      </c>
      <c r="H103" t="s">
        <v>873</v>
      </c>
      <c r="I103" s="15" t="s">
        <v>250</v>
      </c>
      <c r="K103" t="s">
        <v>949</v>
      </c>
      <c r="M103" s="2" t="s">
        <v>980</v>
      </c>
      <c r="O103" t="s">
        <v>1005</v>
      </c>
      <c r="R103" t="s">
        <v>252</v>
      </c>
      <c r="S103" t="s">
        <v>252</v>
      </c>
    </row>
    <row r="104" spans="1:19" ht="15" customHeight="1" x14ac:dyDescent="0.25">
      <c r="A104">
        <v>10</v>
      </c>
      <c r="B104" t="s">
        <v>233</v>
      </c>
      <c r="C104" t="s">
        <v>223</v>
      </c>
      <c r="D104" t="s">
        <v>234</v>
      </c>
      <c r="E104" t="s">
        <v>59</v>
      </c>
      <c r="F104" t="s">
        <v>703</v>
      </c>
      <c r="G104" t="s">
        <v>788</v>
      </c>
      <c r="H104" t="s">
        <v>873</v>
      </c>
      <c r="I104" s="15" t="s">
        <v>262</v>
      </c>
      <c r="P104" s="6" t="s">
        <v>263</v>
      </c>
      <c r="R104" t="s">
        <v>1036</v>
      </c>
    </row>
    <row r="105" spans="1:19" ht="15" customHeight="1" x14ac:dyDescent="0.25">
      <c r="A105">
        <v>10</v>
      </c>
      <c r="B105" t="s">
        <v>233</v>
      </c>
      <c r="C105" t="s">
        <v>223</v>
      </c>
      <c r="D105" t="s">
        <v>234</v>
      </c>
      <c r="E105" t="s">
        <v>59</v>
      </c>
      <c r="F105" t="s">
        <v>703</v>
      </c>
      <c r="G105" t="s">
        <v>788</v>
      </c>
      <c r="H105" t="s">
        <v>873</v>
      </c>
      <c r="I105" s="15" t="s">
        <v>265</v>
      </c>
      <c r="P105" s="6" t="s">
        <v>266</v>
      </c>
      <c r="R105" t="s">
        <v>340</v>
      </c>
    </row>
    <row r="106" spans="1:19" ht="15" customHeight="1" x14ac:dyDescent="0.25">
      <c r="A106">
        <v>10</v>
      </c>
      <c r="B106" t="s">
        <v>233</v>
      </c>
      <c r="C106" t="s">
        <v>223</v>
      </c>
      <c r="D106" t="s">
        <v>234</v>
      </c>
      <c r="E106" t="s">
        <v>59</v>
      </c>
      <c r="F106" t="s">
        <v>703</v>
      </c>
      <c r="G106" t="s">
        <v>788</v>
      </c>
      <c r="H106" t="s">
        <v>873</v>
      </c>
      <c r="I106" s="15" t="s">
        <v>270</v>
      </c>
      <c r="P106" s="6" t="s">
        <v>271</v>
      </c>
      <c r="R106" t="s">
        <v>1037</v>
      </c>
    </row>
    <row r="107" spans="1:19" ht="15" customHeight="1" x14ac:dyDescent="0.25">
      <c r="A107">
        <v>10</v>
      </c>
      <c r="B107" t="s">
        <v>233</v>
      </c>
      <c r="C107" t="s">
        <v>223</v>
      </c>
      <c r="D107" t="s">
        <v>234</v>
      </c>
      <c r="E107" t="s">
        <v>59</v>
      </c>
      <c r="F107" t="s">
        <v>703</v>
      </c>
      <c r="G107" t="s">
        <v>788</v>
      </c>
      <c r="H107" t="s">
        <v>873</v>
      </c>
      <c r="I107" s="15" t="s">
        <v>276</v>
      </c>
      <c r="P107" s="6" t="s">
        <v>268</v>
      </c>
      <c r="R107" t="s">
        <v>1038</v>
      </c>
    </row>
    <row r="108" spans="1:19" ht="15" customHeight="1" x14ac:dyDescent="0.25">
      <c r="A108">
        <v>17</v>
      </c>
      <c r="B108" t="s">
        <v>577</v>
      </c>
      <c r="C108" t="s">
        <v>543</v>
      </c>
      <c r="D108" t="s">
        <v>578</v>
      </c>
      <c r="E108" t="s">
        <v>545</v>
      </c>
      <c r="F108" t="s">
        <v>739</v>
      </c>
      <c r="G108" t="s">
        <v>788</v>
      </c>
      <c r="H108" t="s">
        <v>873</v>
      </c>
      <c r="I108" s="15" t="s">
        <v>583</v>
      </c>
      <c r="K108" t="s">
        <v>1142</v>
      </c>
      <c r="M108" t="s">
        <v>981</v>
      </c>
      <c r="O108" t="s">
        <v>371</v>
      </c>
    </row>
    <row r="109" spans="1:19" ht="15" customHeight="1" x14ac:dyDescent="0.25">
      <c r="A109">
        <v>13</v>
      </c>
      <c r="B109" t="s">
        <v>335</v>
      </c>
      <c r="C109" t="s">
        <v>313</v>
      </c>
      <c r="D109" t="s">
        <v>336</v>
      </c>
      <c r="E109" t="s">
        <v>59</v>
      </c>
      <c r="F109" t="s">
        <v>737</v>
      </c>
      <c r="G109" t="s">
        <v>788</v>
      </c>
      <c r="H109" t="s">
        <v>873</v>
      </c>
      <c r="I109" s="15" t="s">
        <v>341</v>
      </c>
      <c r="K109" t="s">
        <v>951</v>
      </c>
      <c r="M109" t="s">
        <v>338</v>
      </c>
    </row>
    <row r="110" spans="1:19" ht="15" customHeight="1" x14ac:dyDescent="0.25">
      <c r="A110">
        <v>7</v>
      </c>
      <c r="B110" t="s">
        <v>143</v>
      </c>
      <c r="C110" t="s">
        <v>57</v>
      </c>
      <c r="D110" t="s">
        <v>144</v>
      </c>
      <c r="E110" t="s">
        <v>145</v>
      </c>
      <c r="F110" t="s">
        <v>27</v>
      </c>
      <c r="G110" t="s">
        <v>788</v>
      </c>
      <c r="H110" t="s">
        <v>873</v>
      </c>
      <c r="I110" s="15" t="s">
        <v>156</v>
      </c>
      <c r="K110" t="s">
        <v>937</v>
      </c>
      <c r="M110" t="s">
        <v>407</v>
      </c>
      <c r="O110" t="s">
        <v>565</v>
      </c>
    </row>
    <row r="111" spans="1:19" s="23" customFormat="1" ht="15" customHeight="1" x14ac:dyDescent="0.25">
      <c r="A111" s="23">
        <v>1</v>
      </c>
      <c r="B111" s="23" t="s">
        <v>21</v>
      </c>
      <c r="C111" s="23" t="s">
        <v>22</v>
      </c>
      <c r="D111" s="23" t="s">
        <v>23</v>
      </c>
      <c r="E111" s="23" t="s">
        <v>24</v>
      </c>
      <c r="F111" s="23" t="s">
        <v>27</v>
      </c>
      <c r="G111" s="23" t="s">
        <v>788</v>
      </c>
      <c r="H111" t="s">
        <v>874</v>
      </c>
      <c r="I111" s="28" t="s">
        <v>877</v>
      </c>
      <c r="J111" s="28"/>
      <c r="K111" s="23" t="s">
        <v>919</v>
      </c>
      <c r="M111" s="23" t="s">
        <v>347</v>
      </c>
      <c r="P111" s="29" t="s">
        <v>28</v>
      </c>
      <c r="Q111" s="23" t="s">
        <v>26</v>
      </c>
    </row>
    <row r="112" spans="1:19" ht="15" customHeight="1" x14ac:dyDescent="0.25">
      <c r="A112">
        <v>3</v>
      </c>
      <c r="B112" t="s">
        <v>56</v>
      </c>
      <c r="C112" t="s">
        <v>57</v>
      </c>
      <c r="D112" t="s">
        <v>58</v>
      </c>
      <c r="E112" t="s">
        <v>59</v>
      </c>
      <c r="F112" t="s">
        <v>726</v>
      </c>
      <c r="G112" t="s">
        <v>788</v>
      </c>
      <c r="H112" t="s">
        <v>874</v>
      </c>
      <c r="I112" s="15" t="s">
        <v>579</v>
      </c>
      <c r="J112" s="15" t="s">
        <v>745</v>
      </c>
      <c r="L112" s="6" t="s">
        <v>61</v>
      </c>
      <c r="N112" s="6" t="s">
        <v>983</v>
      </c>
      <c r="P112" s="6" t="s">
        <v>60</v>
      </c>
      <c r="R112" t="s">
        <v>1035</v>
      </c>
      <c r="S112" t="s">
        <v>727</v>
      </c>
    </row>
    <row r="113" spans="1:22" ht="15" customHeight="1" x14ac:dyDescent="0.25">
      <c r="A113">
        <v>4</v>
      </c>
      <c r="B113" t="s">
        <v>70</v>
      </c>
      <c r="C113" t="s">
        <v>57</v>
      </c>
      <c r="D113" t="s">
        <v>71</v>
      </c>
      <c r="E113" t="s">
        <v>24</v>
      </c>
      <c r="F113" t="s">
        <v>27</v>
      </c>
      <c r="G113" t="s">
        <v>788</v>
      </c>
      <c r="H113" t="s">
        <v>874</v>
      </c>
      <c r="I113" s="15" t="s">
        <v>85</v>
      </c>
      <c r="J113" s="15" t="s">
        <v>77</v>
      </c>
      <c r="V113" t="s">
        <v>83</v>
      </c>
    </row>
    <row r="114" spans="1:22" ht="15" customHeight="1" x14ac:dyDescent="0.25">
      <c r="A114">
        <v>4</v>
      </c>
      <c r="B114" t="s">
        <v>70</v>
      </c>
      <c r="C114" t="s">
        <v>57</v>
      </c>
      <c r="D114" t="s">
        <v>71</v>
      </c>
      <c r="E114" t="s">
        <v>24</v>
      </c>
      <c r="F114" t="s">
        <v>27</v>
      </c>
      <c r="G114" t="s">
        <v>788</v>
      </c>
      <c r="H114" t="s">
        <v>874</v>
      </c>
      <c r="I114" s="15" t="s">
        <v>90</v>
      </c>
      <c r="J114" s="15" t="s">
        <v>77</v>
      </c>
      <c r="V114" t="s">
        <v>87</v>
      </c>
    </row>
    <row r="115" spans="1:22" ht="15" customHeight="1" x14ac:dyDescent="0.25">
      <c r="A115">
        <v>5</v>
      </c>
      <c r="B115" t="s">
        <v>96</v>
      </c>
      <c r="C115" t="s">
        <v>57</v>
      </c>
      <c r="D115" t="s">
        <v>97</v>
      </c>
      <c r="E115" t="s">
        <v>98</v>
      </c>
      <c r="F115" t="s">
        <v>724</v>
      </c>
      <c r="G115" t="s">
        <v>788</v>
      </c>
      <c r="H115" t="s">
        <v>874</v>
      </c>
      <c r="I115" s="15" t="s">
        <v>107</v>
      </c>
      <c r="K115" s="11" t="s">
        <v>1143</v>
      </c>
      <c r="P115" s="6" t="s">
        <v>102</v>
      </c>
      <c r="V115" t="s">
        <v>105</v>
      </c>
    </row>
    <row r="116" spans="1:22" ht="15" customHeight="1" x14ac:dyDescent="0.25">
      <c r="A116">
        <v>8</v>
      </c>
      <c r="B116" t="s">
        <v>157</v>
      </c>
      <c r="C116" t="s">
        <v>57</v>
      </c>
      <c r="D116" t="s">
        <v>158</v>
      </c>
      <c r="E116" t="s">
        <v>159</v>
      </c>
      <c r="F116" t="s">
        <v>715</v>
      </c>
      <c r="G116" t="s">
        <v>788</v>
      </c>
      <c r="H116" t="s">
        <v>874</v>
      </c>
      <c r="I116" s="15" t="s">
        <v>171</v>
      </c>
      <c r="J116" s="15" t="s">
        <v>160</v>
      </c>
      <c r="K116" t="s">
        <v>933</v>
      </c>
      <c r="M116" t="s">
        <v>984</v>
      </c>
      <c r="O116">
        <v>1</v>
      </c>
      <c r="S116" t="s">
        <v>168</v>
      </c>
    </row>
    <row r="117" spans="1:22" ht="15" customHeight="1" x14ac:dyDescent="0.25">
      <c r="A117">
        <v>8</v>
      </c>
      <c r="B117" t="s">
        <v>157</v>
      </c>
      <c r="C117" t="s">
        <v>57</v>
      </c>
      <c r="D117" t="s">
        <v>158</v>
      </c>
      <c r="E117" t="s">
        <v>159</v>
      </c>
      <c r="F117" t="s">
        <v>715</v>
      </c>
      <c r="G117" t="s">
        <v>788</v>
      </c>
      <c r="H117" t="s">
        <v>874</v>
      </c>
      <c r="I117" s="15" t="s">
        <v>175</v>
      </c>
      <c r="J117" s="15" t="s">
        <v>160</v>
      </c>
      <c r="K117" t="s">
        <v>952</v>
      </c>
      <c r="M117" t="s">
        <v>407</v>
      </c>
      <c r="O117" t="s">
        <v>916</v>
      </c>
      <c r="S117">
        <v>14</v>
      </c>
    </row>
    <row r="118" spans="1:22" ht="15" customHeight="1" x14ac:dyDescent="0.25">
      <c r="A118">
        <v>10</v>
      </c>
      <c r="B118" t="s">
        <v>233</v>
      </c>
      <c r="C118" t="s">
        <v>223</v>
      </c>
      <c r="D118" t="s">
        <v>234</v>
      </c>
      <c r="E118" t="s">
        <v>235</v>
      </c>
      <c r="F118" t="s">
        <v>704</v>
      </c>
      <c r="G118" t="s">
        <v>788</v>
      </c>
      <c r="H118" t="s">
        <v>874</v>
      </c>
      <c r="I118" s="15" t="s">
        <v>253</v>
      </c>
      <c r="K118" t="s">
        <v>949</v>
      </c>
      <c r="M118" s="2" t="s">
        <v>980</v>
      </c>
      <c r="O118" t="s">
        <v>1006</v>
      </c>
      <c r="R118" t="s">
        <v>252</v>
      </c>
      <c r="S118" t="s">
        <v>246</v>
      </c>
    </row>
    <row r="119" spans="1:22" ht="15" customHeight="1" x14ac:dyDescent="0.25">
      <c r="A119">
        <v>10</v>
      </c>
      <c r="B119" t="s">
        <v>233</v>
      </c>
      <c r="C119" t="s">
        <v>223</v>
      </c>
      <c r="D119" t="s">
        <v>234</v>
      </c>
      <c r="E119" t="s">
        <v>235</v>
      </c>
      <c r="F119" t="s">
        <v>704</v>
      </c>
      <c r="G119" t="s">
        <v>788</v>
      </c>
      <c r="H119" t="s">
        <v>874</v>
      </c>
      <c r="I119" s="15" t="s">
        <v>254</v>
      </c>
      <c r="K119" t="s">
        <v>953</v>
      </c>
      <c r="M119">
        <v>98</v>
      </c>
      <c r="O119" t="s">
        <v>1005</v>
      </c>
      <c r="R119">
        <v>500</v>
      </c>
      <c r="S119">
        <v>50</v>
      </c>
    </row>
    <row r="120" spans="1:22" ht="15" customHeight="1" x14ac:dyDescent="0.25">
      <c r="A120">
        <v>10</v>
      </c>
      <c r="B120" t="s">
        <v>233</v>
      </c>
      <c r="C120" t="s">
        <v>223</v>
      </c>
      <c r="D120" t="s">
        <v>234</v>
      </c>
      <c r="E120" t="s">
        <v>59</v>
      </c>
      <c r="F120" t="s">
        <v>703</v>
      </c>
      <c r="G120" t="s">
        <v>788</v>
      </c>
      <c r="H120" t="s">
        <v>874</v>
      </c>
      <c r="I120" s="15" t="s">
        <v>259</v>
      </c>
      <c r="P120" s="6" t="s">
        <v>260</v>
      </c>
      <c r="R120" t="s">
        <v>1032</v>
      </c>
    </row>
    <row r="121" spans="1:22" ht="15" customHeight="1" x14ac:dyDescent="0.25">
      <c r="A121">
        <v>14</v>
      </c>
      <c r="B121" t="s">
        <v>400</v>
      </c>
      <c r="C121" t="s">
        <v>313</v>
      </c>
      <c r="D121" t="s">
        <v>401</v>
      </c>
      <c r="E121" t="s">
        <v>402</v>
      </c>
      <c r="F121" t="s">
        <v>27</v>
      </c>
      <c r="G121" t="s">
        <v>788</v>
      </c>
      <c r="H121" t="s">
        <v>874</v>
      </c>
      <c r="I121" s="15" t="s">
        <v>398</v>
      </c>
      <c r="J121" s="15" t="s">
        <v>403</v>
      </c>
      <c r="K121" t="s">
        <v>923</v>
      </c>
      <c r="M121" t="s">
        <v>362</v>
      </c>
      <c r="N121" t="s">
        <v>362</v>
      </c>
      <c r="O121" t="s">
        <v>371</v>
      </c>
      <c r="R121" t="s">
        <v>415</v>
      </c>
      <c r="S121" t="s">
        <v>420</v>
      </c>
    </row>
    <row r="122" spans="1:22" ht="15" customHeight="1" x14ac:dyDescent="0.25">
      <c r="A122">
        <v>14</v>
      </c>
      <c r="B122" t="s">
        <v>400</v>
      </c>
      <c r="C122" t="s">
        <v>313</v>
      </c>
      <c r="D122" t="s">
        <v>401</v>
      </c>
      <c r="E122" t="s">
        <v>402</v>
      </c>
      <c r="F122" t="s">
        <v>27</v>
      </c>
      <c r="G122" t="s">
        <v>788</v>
      </c>
      <c r="H122" t="s">
        <v>874</v>
      </c>
      <c r="I122" s="15" t="s">
        <v>399</v>
      </c>
      <c r="J122" s="15" t="s">
        <v>403</v>
      </c>
      <c r="K122" s="23" t="s">
        <v>919</v>
      </c>
      <c r="M122" t="s">
        <v>347</v>
      </c>
      <c r="N122" t="s">
        <v>347</v>
      </c>
      <c r="O122">
        <v>1000</v>
      </c>
      <c r="R122" t="s">
        <v>416</v>
      </c>
      <c r="S122" t="s">
        <v>421</v>
      </c>
    </row>
    <row r="123" spans="1:22" ht="15" customHeight="1" x14ac:dyDescent="0.25">
      <c r="A123">
        <v>17</v>
      </c>
      <c r="B123" t="s">
        <v>577</v>
      </c>
      <c r="C123" t="s">
        <v>543</v>
      </c>
      <c r="D123" t="s">
        <v>578</v>
      </c>
      <c r="E123" t="s">
        <v>545</v>
      </c>
      <c r="F123" t="s">
        <v>739</v>
      </c>
      <c r="G123" t="s">
        <v>788</v>
      </c>
      <c r="H123" t="s">
        <v>874</v>
      </c>
      <c r="I123" s="15" t="s">
        <v>579</v>
      </c>
      <c r="K123" t="s">
        <v>1144</v>
      </c>
      <c r="M123" t="s">
        <v>985</v>
      </c>
      <c r="O123" t="s">
        <v>1007</v>
      </c>
    </row>
    <row r="124" spans="1:22" ht="15" customHeight="1" x14ac:dyDescent="0.25">
      <c r="A124">
        <v>20</v>
      </c>
      <c r="B124" t="s">
        <v>638</v>
      </c>
      <c r="C124" t="s">
        <v>639</v>
      </c>
      <c r="D124" t="s">
        <v>640</v>
      </c>
      <c r="E124" t="s">
        <v>545</v>
      </c>
      <c r="F124" t="s">
        <v>741</v>
      </c>
      <c r="G124" t="s">
        <v>788</v>
      </c>
      <c r="H124" t="s">
        <v>874</v>
      </c>
      <c r="I124" s="15" t="s">
        <v>643</v>
      </c>
      <c r="K124" s="23" t="s">
        <v>919</v>
      </c>
      <c r="M124" t="s">
        <v>387</v>
      </c>
      <c r="Q124" t="s">
        <v>697</v>
      </c>
    </row>
    <row r="125" spans="1:22" ht="15" customHeight="1" x14ac:dyDescent="0.25">
      <c r="A125">
        <v>22</v>
      </c>
      <c r="B125" t="s">
        <v>687</v>
      </c>
      <c r="C125" t="s">
        <v>688</v>
      </c>
      <c r="D125" t="s">
        <v>689</v>
      </c>
      <c r="E125" t="s">
        <v>545</v>
      </c>
      <c r="F125" t="s">
        <v>743</v>
      </c>
      <c r="G125" t="s">
        <v>788</v>
      </c>
      <c r="H125" t="s">
        <v>874</v>
      </c>
      <c r="I125" s="15" t="s">
        <v>698</v>
      </c>
      <c r="K125" s="23" t="s">
        <v>919</v>
      </c>
      <c r="M125" t="s">
        <v>387</v>
      </c>
      <c r="Q125" t="s">
        <v>697</v>
      </c>
    </row>
    <row r="126" spans="1:22" s="23" customFormat="1" ht="15" customHeight="1" x14ac:dyDescent="0.25">
      <c r="A126" s="23">
        <v>1</v>
      </c>
      <c r="B126" s="23" t="s">
        <v>21</v>
      </c>
      <c r="C126" s="23" t="s">
        <v>22</v>
      </c>
      <c r="D126" s="23" t="s">
        <v>23</v>
      </c>
      <c r="E126" s="23" t="s">
        <v>24</v>
      </c>
      <c r="F126" s="23" t="s">
        <v>27</v>
      </c>
      <c r="G126" s="23" t="s">
        <v>788</v>
      </c>
      <c r="H126" t="s">
        <v>872</v>
      </c>
      <c r="I126" s="28" t="s">
        <v>878</v>
      </c>
      <c r="J126" s="28"/>
      <c r="K126" s="23" t="s">
        <v>919</v>
      </c>
      <c r="M126" s="23" t="s">
        <v>347</v>
      </c>
      <c r="P126" s="29" t="s">
        <v>28</v>
      </c>
      <c r="Q126" s="23" t="s">
        <v>26</v>
      </c>
    </row>
    <row r="127" spans="1:22" ht="15" customHeight="1" x14ac:dyDescent="0.25">
      <c r="A127">
        <v>1</v>
      </c>
      <c r="B127" t="s">
        <v>21</v>
      </c>
      <c r="C127" t="s">
        <v>22</v>
      </c>
      <c r="D127" t="s">
        <v>23</v>
      </c>
      <c r="E127" t="s">
        <v>24</v>
      </c>
      <c r="F127" t="s">
        <v>27</v>
      </c>
      <c r="G127" t="s">
        <v>788</v>
      </c>
      <c r="H127" t="s">
        <v>872</v>
      </c>
      <c r="I127" s="15" t="s">
        <v>25</v>
      </c>
      <c r="K127" t="s">
        <v>931</v>
      </c>
      <c r="M127" s="23" t="s">
        <v>347</v>
      </c>
      <c r="P127" s="6" t="s">
        <v>28</v>
      </c>
      <c r="Q127" t="s">
        <v>26</v>
      </c>
    </row>
    <row r="128" spans="1:22" ht="15" customHeight="1" x14ac:dyDescent="0.25">
      <c r="A128">
        <v>1</v>
      </c>
      <c r="B128" t="s">
        <v>21</v>
      </c>
      <c r="C128" t="s">
        <v>22</v>
      </c>
      <c r="D128" t="s">
        <v>23</v>
      </c>
      <c r="E128" t="s">
        <v>24</v>
      </c>
      <c r="F128" t="s">
        <v>27</v>
      </c>
      <c r="G128" t="s">
        <v>788</v>
      </c>
      <c r="H128" t="s">
        <v>872</v>
      </c>
      <c r="I128" s="15" t="s">
        <v>733</v>
      </c>
      <c r="K128" t="s">
        <v>954</v>
      </c>
      <c r="M128" s="23" t="s">
        <v>347</v>
      </c>
      <c r="P128" s="6" t="s">
        <v>28</v>
      </c>
      <c r="Q128" t="s">
        <v>26</v>
      </c>
    </row>
    <row r="129" spans="1:22" ht="15" customHeight="1" x14ac:dyDescent="0.25">
      <c r="A129">
        <v>1</v>
      </c>
      <c r="B129" t="s">
        <v>21</v>
      </c>
      <c r="C129" t="s">
        <v>22</v>
      </c>
      <c r="D129" t="s">
        <v>23</v>
      </c>
      <c r="E129" t="s">
        <v>24</v>
      </c>
      <c r="F129" t="s">
        <v>27</v>
      </c>
      <c r="G129" t="s">
        <v>788</v>
      </c>
      <c r="H129" t="s">
        <v>872</v>
      </c>
      <c r="I129" s="15" t="s">
        <v>32</v>
      </c>
      <c r="K129" t="s">
        <v>923</v>
      </c>
      <c r="M129" s="23" t="s">
        <v>347</v>
      </c>
      <c r="P129" s="6" t="s">
        <v>28</v>
      </c>
      <c r="Q129" t="s">
        <v>26</v>
      </c>
    </row>
    <row r="130" spans="1:22" ht="15" customHeight="1" x14ac:dyDescent="0.25">
      <c r="A130">
        <v>4</v>
      </c>
      <c r="B130" t="s">
        <v>70</v>
      </c>
      <c r="C130" t="s">
        <v>57</v>
      </c>
      <c r="D130" t="s">
        <v>71</v>
      </c>
      <c r="E130" t="s">
        <v>24</v>
      </c>
      <c r="F130" t="s">
        <v>27</v>
      </c>
      <c r="G130" t="s">
        <v>788</v>
      </c>
      <c r="H130" t="s">
        <v>872</v>
      </c>
      <c r="I130" s="15" t="s">
        <v>73</v>
      </c>
      <c r="J130" s="15" t="s">
        <v>72</v>
      </c>
      <c r="V130" t="s">
        <v>74</v>
      </c>
    </row>
    <row r="131" spans="1:22" ht="15" customHeight="1" x14ac:dyDescent="0.25">
      <c r="A131">
        <v>4</v>
      </c>
      <c r="B131" t="s">
        <v>70</v>
      </c>
      <c r="C131" t="s">
        <v>57</v>
      </c>
      <c r="D131" t="s">
        <v>71</v>
      </c>
      <c r="E131" t="s">
        <v>24</v>
      </c>
      <c r="F131" t="s">
        <v>27</v>
      </c>
      <c r="G131" t="s">
        <v>788</v>
      </c>
      <c r="H131" t="s">
        <v>872</v>
      </c>
      <c r="I131" s="15" t="s">
        <v>81</v>
      </c>
      <c r="J131" s="15" t="s">
        <v>77</v>
      </c>
      <c r="V131" t="s">
        <v>80</v>
      </c>
    </row>
    <row r="132" spans="1:22" ht="15" customHeight="1" x14ac:dyDescent="0.25">
      <c r="A132">
        <v>5</v>
      </c>
      <c r="B132" t="s">
        <v>96</v>
      </c>
      <c r="C132" t="s">
        <v>57</v>
      </c>
      <c r="D132" t="s">
        <v>97</v>
      </c>
      <c r="E132" t="s">
        <v>98</v>
      </c>
      <c r="F132" t="s">
        <v>724</v>
      </c>
      <c r="G132" t="s">
        <v>788</v>
      </c>
      <c r="H132" t="s">
        <v>872</v>
      </c>
      <c r="I132" s="15" t="s">
        <v>104</v>
      </c>
      <c r="K132" s="11" t="s">
        <v>958</v>
      </c>
      <c r="P132" s="6" t="s">
        <v>105</v>
      </c>
      <c r="V132" t="s">
        <v>102</v>
      </c>
    </row>
    <row r="133" spans="1:22" ht="15" customHeight="1" x14ac:dyDescent="0.25">
      <c r="A133">
        <v>8</v>
      </c>
      <c r="B133" t="s">
        <v>157</v>
      </c>
      <c r="C133" t="s">
        <v>57</v>
      </c>
      <c r="D133" t="s">
        <v>158</v>
      </c>
      <c r="E133" t="s">
        <v>159</v>
      </c>
      <c r="F133" t="s">
        <v>715</v>
      </c>
      <c r="G133" t="s">
        <v>788</v>
      </c>
      <c r="H133" t="s">
        <v>872</v>
      </c>
      <c r="I133" s="15" t="s">
        <v>161</v>
      </c>
      <c r="J133" s="15" t="s">
        <v>160</v>
      </c>
      <c r="K133" t="s">
        <v>926</v>
      </c>
      <c r="M133" t="s">
        <v>407</v>
      </c>
      <c r="O133">
        <v>1</v>
      </c>
      <c r="S133">
        <v>10</v>
      </c>
    </row>
    <row r="134" spans="1:22" ht="15" customHeight="1" x14ac:dyDescent="0.25">
      <c r="A134">
        <v>8</v>
      </c>
      <c r="B134" t="s">
        <v>157</v>
      </c>
      <c r="C134" t="s">
        <v>57</v>
      </c>
      <c r="D134" t="s">
        <v>158</v>
      </c>
      <c r="E134" t="s">
        <v>159</v>
      </c>
      <c r="F134" t="s">
        <v>715</v>
      </c>
      <c r="G134" t="s">
        <v>788</v>
      </c>
      <c r="H134" t="s">
        <v>872</v>
      </c>
      <c r="I134" s="15" t="s">
        <v>164</v>
      </c>
      <c r="J134" s="15" t="s">
        <v>160</v>
      </c>
      <c r="K134" t="s">
        <v>931</v>
      </c>
      <c r="M134" t="s">
        <v>407</v>
      </c>
      <c r="O134" t="s">
        <v>916</v>
      </c>
      <c r="S134">
        <v>10</v>
      </c>
    </row>
    <row r="135" spans="1:22" ht="15" customHeight="1" x14ac:dyDescent="0.25">
      <c r="A135">
        <v>8</v>
      </c>
      <c r="B135" t="s">
        <v>157</v>
      </c>
      <c r="C135" t="s">
        <v>57</v>
      </c>
      <c r="D135" t="s">
        <v>158</v>
      </c>
      <c r="E135" t="s">
        <v>159</v>
      </c>
      <c r="F135" t="s">
        <v>715</v>
      </c>
      <c r="G135" t="s">
        <v>788</v>
      </c>
      <c r="H135" t="s">
        <v>872</v>
      </c>
      <c r="I135" s="15" t="s">
        <v>166</v>
      </c>
      <c r="J135" s="15" t="s">
        <v>160</v>
      </c>
      <c r="K135" t="s">
        <v>927</v>
      </c>
      <c r="M135" t="s">
        <v>407</v>
      </c>
      <c r="O135" t="s">
        <v>916</v>
      </c>
      <c r="S135" t="s">
        <v>168</v>
      </c>
    </row>
    <row r="136" spans="1:22" ht="15" customHeight="1" x14ac:dyDescent="0.25">
      <c r="A136">
        <v>8</v>
      </c>
      <c r="B136" t="s">
        <v>157</v>
      </c>
      <c r="C136" t="s">
        <v>57</v>
      </c>
      <c r="D136" t="s">
        <v>158</v>
      </c>
      <c r="E136" t="s">
        <v>159</v>
      </c>
      <c r="F136" t="s">
        <v>715</v>
      </c>
      <c r="G136" t="s">
        <v>788</v>
      </c>
      <c r="H136" t="s">
        <v>872</v>
      </c>
      <c r="I136" s="15" t="s">
        <v>174</v>
      </c>
      <c r="J136" s="15" t="s">
        <v>160</v>
      </c>
      <c r="K136" t="s">
        <v>933</v>
      </c>
      <c r="M136" t="s">
        <v>984</v>
      </c>
      <c r="O136" t="s">
        <v>916</v>
      </c>
      <c r="S136" t="s">
        <v>168</v>
      </c>
    </row>
    <row r="137" spans="1:22" ht="15" customHeight="1" x14ac:dyDescent="0.25">
      <c r="A137">
        <v>8</v>
      </c>
      <c r="B137" t="s">
        <v>157</v>
      </c>
      <c r="C137" t="s">
        <v>57</v>
      </c>
      <c r="D137" t="s">
        <v>158</v>
      </c>
      <c r="E137" t="s">
        <v>159</v>
      </c>
      <c r="F137" t="s">
        <v>715</v>
      </c>
      <c r="G137" t="s">
        <v>788</v>
      </c>
      <c r="H137" t="s">
        <v>872</v>
      </c>
      <c r="I137" s="15" t="s">
        <v>25</v>
      </c>
      <c r="J137" s="15" t="s">
        <v>160</v>
      </c>
      <c r="K137" t="s">
        <v>931</v>
      </c>
      <c r="M137" t="s">
        <v>407</v>
      </c>
      <c r="O137" t="s">
        <v>916</v>
      </c>
      <c r="S137">
        <v>14</v>
      </c>
    </row>
    <row r="138" spans="1:22" ht="15" customHeight="1" x14ac:dyDescent="0.25">
      <c r="A138">
        <v>8</v>
      </c>
      <c r="B138" t="s">
        <v>157</v>
      </c>
      <c r="C138" t="s">
        <v>57</v>
      </c>
      <c r="D138" t="s">
        <v>158</v>
      </c>
      <c r="E138" t="s">
        <v>159</v>
      </c>
      <c r="F138" t="s">
        <v>715</v>
      </c>
      <c r="G138" t="s">
        <v>788</v>
      </c>
      <c r="H138" t="s">
        <v>872</v>
      </c>
      <c r="I138" s="15" t="s">
        <v>177</v>
      </c>
      <c r="J138" s="15" t="s">
        <v>160</v>
      </c>
      <c r="K138" t="s">
        <v>957</v>
      </c>
      <c r="M138" t="s">
        <v>407</v>
      </c>
      <c r="O138" t="s">
        <v>916</v>
      </c>
      <c r="S138">
        <v>10</v>
      </c>
    </row>
    <row r="139" spans="1:22" ht="15" customHeight="1" x14ac:dyDescent="0.25">
      <c r="A139">
        <v>8</v>
      </c>
      <c r="B139" t="s">
        <v>157</v>
      </c>
      <c r="C139" t="s">
        <v>57</v>
      </c>
      <c r="D139" t="s">
        <v>158</v>
      </c>
      <c r="E139" t="s">
        <v>159</v>
      </c>
      <c r="F139" t="s">
        <v>715</v>
      </c>
      <c r="G139" t="s">
        <v>788</v>
      </c>
      <c r="H139" t="s">
        <v>872</v>
      </c>
      <c r="I139" s="15" t="s">
        <v>179</v>
      </c>
      <c r="J139" s="15" t="s">
        <v>160</v>
      </c>
      <c r="K139" t="s">
        <v>957</v>
      </c>
      <c r="M139" t="s">
        <v>407</v>
      </c>
      <c r="O139">
        <v>1</v>
      </c>
      <c r="S139">
        <v>10</v>
      </c>
    </row>
    <row r="140" spans="1:22" ht="15" customHeight="1" x14ac:dyDescent="0.25">
      <c r="A140">
        <v>8</v>
      </c>
      <c r="B140" t="s">
        <v>157</v>
      </c>
      <c r="C140" t="s">
        <v>57</v>
      </c>
      <c r="D140" t="s">
        <v>158</v>
      </c>
      <c r="E140" t="s">
        <v>159</v>
      </c>
      <c r="F140" t="s">
        <v>715</v>
      </c>
      <c r="G140" t="s">
        <v>788</v>
      </c>
      <c r="H140" t="s">
        <v>872</v>
      </c>
      <c r="I140" s="15" t="s">
        <v>180</v>
      </c>
      <c r="J140" s="15" t="s">
        <v>160</v>
      </c>
      <c r="K140" t="s">
        <v>956</v>
      </c>
      <c r="M140" t="s">
        <v>407</v>
      </c>
      <c r="O140" t="s">
        <v>916</v>
      </c>
      <c r="S140">
        <v>10</v>
      </c>
    </row>
    <row r="141" spans="1:22" ht="15" customHeight="1" x14ac:dyDescent="0.25">
      <c r="A141">
        <v>9</v>
      </c>
      <c r="B141" t="s">
        <v>222</v>
      </c>
      <c r="C141" t="s">
        <v>223</v>
      </c>
      <c r="D141" t="s">
        <v>224</v>
      </c>
      <c r="E141" t="s">
        <v>59</v>
      </c>
      <c r="F141" t="s">
        <v>27</v>
      </c>
      <c r="G141" t="s">
        <v>788</v>
      </c>
      <c r="H141" t="s">
        <v>872</v>
      </c>
      <c r="I141" s="15" t="s">
        <v>225</v>
      </c>
      <c r="K141" t="s">
        <v>927</v>
      </c>
      <c r="M141" t="s">
        <v>988</v>
      </c>
      <c r="P141" s="6" t="s">
        <v>167</v>
      </c>
      <c r="Q141" t="s">
        <v>26</v>
      </c>
      <c r="S141" t="s">
        <v>227</v>
      </c>
    </row>
    <row r="142" spans="1:22" ht="15" customHeight="1" x14ac:dyDescent="0.25">
      <c r="A142">
        <v>9</v>
      </c>
      <c r="B142" t="s">
        <v>222</v>
      </c>
      <c r="C142" t="s">
        <v>223</v>
      </c>
      <c r="D142" t="s">
        <v>224</v>
      </c>
      <c r="E142" t="s">
        <v>59</v>
      </c>
      <c r="F142" t="s">
        <v>27</v>
      </c>
      <c r="G142" t="s">
        <v>788</v>
      </c>
      <c r="H142" t="s">
        <v>872</v>
      </c>
      <c r="I142" s="15" t="s">
        <v>225</v>
      </c>
      <c r="K142" t="s">
        <v>931</v>
      </c>
      <c r="M142" t="s">
        <v>989</v>
      </c>
      <c r="P142" s="6" t="s">
        <v>29</v>
      </c>
      <c r="Q142" t="s">
        <v>228</v>
      </c>
      <c r="S142" t="s">
        <v>230</v>
      </c>
    </row>
    <row r="143" spans="1:22" ht="15" customHeight="1" x14ac:dyDescent="0.25">
      <c r="A143">
        <v>9</v>
      </c>
      <c r="B143" t="s">
        <v>222</v>
      </c>
      <c r="C143" t="s">
        <v>223</v>
      </c>
      <c r="D143" t="s">
        <v>224</v>
      </c>
      <c r="E143" t="s">
        <v>59</v>
      </c>
      <c r="F143" t="s">
        <v>27</v>
      </c>
      <c r="G143" t="s">
        <v>788</v>
      </c>
      <c r="H143" t="s">
        <v>872</v>
      </c>
      <c r="I143" s="15" t="s">
        <v>225</v>
      </c>
      <c r="K143" t="s">
        <v>926</v>
      </c>
      <c r="M143" t="s">
        <v>989</v>
      </c>
      <c r="P143" s="6" t="s">
        <v>163</v>
      </c>
      <c r="Q143" t="s">
        <v>231</v>
      </c>
      <c r="S143" t="s">
        <v>232</v>
      </c>
    </row>
    <row r="144" spans="1:22" ht="15" customHeight="1" x14ac:dyDescent="0.25">
      <c r="A144">
        <v>13</v>
      </c>
      <c r="B144" t="s">
        <v>335</v>
      </c>
      <c r="C144" t="s">
        <v>313</v>
      </c>
      <c r="D144" t="s">
        <v>336</v>
      </c>
      <c r="E144" t="s">
        <v>337</v>
      </c>
      <c r="F144" t="s">
        <v>27</v>
      </c>
      <c r="G144" t="s">
        <v>788</v>
      </c>
      <c r="H144" t="s">
        <v>872</v>
      </c>
      <c r="I144" s="15" t="s">
        <v>386</v>
      </c>
      <c r="K144" t="s">
        <v>926</v>
      </c>
      <c r="M144" t="s">
        <v>387</v>
      </c>
      <c r="P144" s="6" t="s">
        <v>389</v>
      </c>
      <c r="Q144" t="s">
        <v>1029</v>
      </c>
    </row>
    <row r="145" spans="1:22" ht="15" customHeight="1" x14ac:dyDescent="0.25">
      <c r="A145">
        <v>14</v>
      </c>
      <c r="B145" t="s">
        <v>400</v>
      </c>
      <c r="C145" t="s">
        <v>313</v>
      </c>
      <c r="D145" t="s">
        <v>401</v>
      </c>
      <c r="E145" t="s">
        <v>402</v>
      </c>
      <c r="F145" t="s">
        <v>27</v>
      </c>
      <c r="G145" t="s">
        <v>788</v>
      </c>
      <c r="H145" t="s">
        <v>872</v>
      </c>
      <c r="I145" s="15" t="s">
        <v>32</v>
      </c>
      <c r="J145" s="15" t="s">
        <v>403</v>
      </c>
      <c r="K145" t="s">
        <v>931</v>
      </c>
      <c r="M145" t="s">
        <v>407</v>
      </c>
      <c r="N145" t="s">
        <v>407</v>
      </c>
      <c r="O145" t="s">
        <v>997</v>
      </c>
      <c r="R145" t="s">
        <v>413</v>
      </c>
      <c r="S145" t="s">
        <v>418</v>
      </c>
    </row>
    <row r="146" spans="1:22" ht="15" customHeight="1" x14ac:dyDescent="0.25">
      <c r="A146">
        <v>15</v>
      </c>
      <c r="B146" t="s">
        <v>542</v>
      </c>
      <c r="C146" t="s">
        <v>543</v>
      </c>
      <c r="D146" t="s">
        <v>544</v>
      </c>
      <c r="E146" t="s">
        <v>562</v>
      </c>
      <c r="F146" t="s">
        <v>738</v>
      </c>
      <c r="G146" t="s">
        <v>788</v>
      </c>
      <c r="H146" t="s">
        <v>872</v>
      </c>
      <c r="I146" s="15" t="s">
        <v>177</v>
      </c>
      <c r="K146" t="s">
        <v>937</v>
      </c>
      <c r="M146" t="s">
        <v>347</v>
      </c>
      <c r="O146" s="11" t="s">
        <v>1090</v>
      </c>
    </row>
    <row r="147" spans="1:22" ht="15" customHeight="1" x14ac:dyDescent="0.25">
      <c r="A147">
        <v>20</v>
      </c>
      <c r="B147" t="s">
        <v>638</v>
      </c>
      <c r="C147" t="s">
        <v>639</v>
      </c>
      <c r="D147" t="s">
        <v>640</v>
      </c>
      <c r="E147" t="s">
        <v>545</v>
      </c>
      <c r="F147" t="s">
        <v>741</v>
      </c>
      <c r="G147" t="s">
        <v>788</v>
      </c>
      <c r="H147" t="s">
        <v>872</v>
      </c>
      <c r="I147" s="15" t="s">
        <v>644</v>
      </c>
      <c r="K147" t="s">
        <v>955</v>
      </c>
      <c r="M147" t="s">
        <v>987</v>
      </c>
      <c r="Q147" t="s">
        <v>700</v>
      </c>
    </row>
    <row r="148" spans="1:22" ht="15" customHeight="1" x14ac:dyDescent="0.25">
      <c r="A148">
        <v>22</v>
      </c>
      <c r="B148" t="s">
        <v>687</v>
      </c>
      <c r="C148" t="s">
        <v>688</v>
      </c>
      <c r="D148" t="s">
        <v>689</v>
      </c>
      <c r="E148" t="s">
        <v>545</v>
      </c>
      <c r="F148" t="s">
        <v>743</v>
      </c>
      <c r="G148" t="s">
        <v>788</v>
      </c>
      <c r="H148" t="s">
        <v>872</v>
      </c>
      <c r="I148" s="15" t="s">
        <v>701</v>
      </c>
      <c r="K148" t="s">
        <v>955</v>
      </c>
      <c r="M148" t="s">
        <v>986</v>
      </c>
      <c r="Q148" t="s">
        <v>700</v>
      </c>
    </row>
    <row r="149" spans="1:22" s="23" customFormat="1" ht="15" customHeight="1" x14ac:dyDescent="0.25">
      <c r="A149" s="23">
        <v>19</v>
      </c>
      <c r="B149" s="23" t="s">
        <v>613</v>
      </c>
      <c r="C149" s="23" t="s">
        <v>614</v>
      </c>
      <c r="D149" s="23" t="s">
        <v>615</v>
      </c>
      <c r="E149" s="23" t="s">
        <v>616</v>
      </c>
      <c r="F149" s="23" t="s">
        <v>740</v>
      </c>
      <c r="G149" s="23" t="s">
        <v>788</v>
      </c>
      <c r="H149" t="s">
        <v>872</v>
      </c>
      <c r="I149" s="28" t="s">
        <v>625</v>
      </c>
      <c r="J149" s="28" t="s">
        <v>879</v>
      </c>
      <c r="K149" t="s">
        <v>1066</v>
      </c>
      <c r="O149" s="23" t="s">
        <v>1008</v>
      </c>
    </row>
    <row r="150" spans="1:22" s="4" customFormat="1" ht="15" customHeight="1" x14ac:dyDescent="0.25">
      <c r="I150" s="22"/>
      <c r="J150" s="22"/>
    </row>
    <row r="151" spans="1:22" ht="15" customHeight="1" x14ac:dyDescent="0.25">
      <c r="A151">
        <v>8</v>
      </c>
      <c r="B151" t="s">
        <v>157</v>
      </c>
      <c r="C151" t="s">
        <v>57</v>
      </c>
      <c r="D151" t="s">
        <v>158</v>
      </c>
      <c r="E151" t="s">
        <v>159</v>
      </c>
      <c r="F151" t="s">
        <v>715</v>
      </c>
      <c r="G151" t="s">
        <v>789</v>
      </c>
      <c r="H151" t="s">
        <v>890</v>
      </c>
      <c r="I151" s="15" t="s">
        <v>210</v>
      </c>
      <c r="J151" s="15" t="s">
        <v>200</v>
      </c>
      <c r="K151" t="s">
        <v>961</v>
      </c>
      <c r="M151">
        <v>99</v>
      </c>
      <c r="O151">
        <v>15</v>
      </c>
      <c r="S151">
        <v>60</v>
      </c>
    </row>
    <row r="152" spans="1:22" s="14" customFormat="1" ht="15" customHeight="1" x14ac:dyDescent="0.25">
      <c r="A152">
        <v>14</v>
      </c>
      <c r="B152" t="s">
        <v>400</v>
      </c>
      <c r="C152" t="s">
        <v>313</v>
      </c>
      <c r="D152" t="s">
        <v>401</v>
      </c>
      <c r="E152" t="s">
        <v>402</v>
      </c>
      <c r="F152" t="s">
        <v>27</v>
      </c>
      <c r="G152" t="s">
        <v>789</v>
      </c>
      <c r="H152" t="s">
        <v>890</v>
      </c>
      <c r="I152" s="15" t="s">
        <v>469</v>
      </c>
      <c r="J152" s="15" t="s">
        <v>472</v>
      </c>
      <c r="K152" t="s">
        <v>962</v>
      </c>
      <c r="M152" t="s">
        <v>347</v>
      </c>
      <c r="N152" t="s">
        <v>387</v>
      </c>
      <c r="O152">
        <v>100</v>
      </c>
      <c r="Q152"/>
      <c r="R152" t="s">
        <v>476</v>
      </c>
      <c r="S152" t="s">
        <v>440</v>
      </c>
      <c r="T152"/>
      <c r="U152"/>
      <c r="V152"/>
    </row>
    <row r="153" spans="1:22" s="14" customFormat="1" ht="15" customHeight="1" x14ac:dyDescent="0.25">
      <c r="A153">
        <v>14</v>
      </c>
      <c r="B153" t="s">
        <v>400</v>
      </c>
      <c r="C153" t="s">
        <v>313</v>
      </c>
      <c r="D153" t="s">
        <v>401</v>
      </c>
      <c r="E153" t="s">
        <v>402</v>
      </c>
      <c r="F153" t="s">
        <v>27</v>
      </c>
      <c r="G153" t="s">
        <v>789</v>
      </c>
      <c r="H153" t="s">
        <v>890</v>
      </c>
      <c r="I153" s="15" t="s">
        <v>470</v>
      </c>
      <c r="J153" s="15" t="s">
        <v>472</v>
      </c>
      <c r="K153" t="s">
        <v>955</v>
      </c>
      <c r="M153" t="s">
        <v>347</v>
      </c>
      <c r="N153" t="s">
        <v>387</v>
      </c>
      <c r="O153">
        <v>10</v>
      </c>
      <c r="Q153"/>
      <c r="R153" t="s">
        <v>416</v>
      </c>
      <c r="S153" t="s">
        <v>418</v>
      </c>
      <c r="T153"/>
      <c r="U153"/>
      <c r="V153"/>
    </row>
    <row r="154" spans="1:22" ht="15" customHeight="1" x14ac:dyDescent="0.25">
      <c r="A154">
        <v>14</v>
      </c>
      <c r="B154" t="s">
        <v>400</v>
      </c>
      <c r="C154" t="s">
        <v>313</v>
      </c>
      <c r="D154" t="s">
        <v>401</v>
      </c>
      <c r="E154" t="s">
        <v>402</v>
      </c>
      <c r="F154" t="s">
        <v>27</v>
      </c>
      <c r="G154" t="s">
        <v>789</v>
      </c>
      <c r="H154" t="s">
        <v>890</v>
      </c>
      <c r="I154" s="15" t="s">
        <v>471</v>
      </c>
      <c r="J154" s="15" t="s">
        <v>472</v>
      </c>
      <c r="K154" t="s">
        <v>963</v>
      </c>
      <c r="M154" t="s">
        <v>347</v>
      </c>
      <c r="N154" t="s">
        <v>387</v>
      </c>
      <c r="O154">
        <v>1000</v>
      </c>
      <c r="R154" t="s">
        <v>448</v>
      </c>
      <c r="S154" t="s">
        <v>420</v>
      </c>
    </row>
    <row r="155" spans="1:22" ht="15" customHeight="1" x14ac:dyDescent="0.25">
      <c r="A155">
        <v>14</v>
      </c>
      <c r="B155" t="s">
        <v>400</v>
      </c>
      <c r="C155" t="s">
        <v>313</v>
      </c>
      <c r="D155" t="s">
        <v>401</v>
      </c>
      <c r="E155" t="s">
        <v>402</v>
      </c>
      <c r="F155" t="s">
        <v>27</v>
      </c>
      <c r="G155" t="s">
        <v>789</v>
      </c>
      <c r="H155" t="s">
        <v>891</v>
      </c>
      <c r="I155" s="15" t="s">
        <v>528</v>
      </c>
      <c r="J155" s="15" t="s">
        <v>531</v>
      </c>
      <c r="K155" t="s">
        <v>926</v>
      </c>
      <c r="M155" t="s">
        <v>362</v>
      </c>
      <c r="N155" t="s">
        <v>362</v>
      </c>
      <c r="O155">
        <v>100</v>
      </c>
      <c r="R155" t="s">
        <v>476</v>
      </c>
      <c r="S155" t="s">
        <v>536</v>
      </c>
    </row>
    <row r="156" spans="1:22" ht="15" customHeight="1" x14ac:dyDescent="0.25">
      <c r="A156">
        <v>14</v>
      </c>
      <c r="B156" t="s">
        <v>400</v>
      </c>
      <c r="C156" t="s">
        <v>313</v>
      </c>
      <c r="D156" t="s">
        <v>401</v>
      </c>
      <c r="E156" t="s">
        <v>402</v>
      </c>
      <c r="F156" t="s">
        <v>27</v>
      </c>
      <c r="G156" t="s">
        <v>789</v>
      </c>
      <c r="H156" t="s">
        <v>891</v>
      </c>
      <c r="I156" s="15" t="s">
        <v>529</v>
      </c>
      <c r="J156" s="15" t="s">
        <v>531</v>
      </c>
      <c r="K156" t="s">
        <v>923</v>
      </c>
      <c r="M156" t="s">
        <v>347</v>
      </c>
      <c r="N156" t="s">
        <v>347</v>
      </c>
      <c r="O156" t="s">
        <v>994</v>
      </c>
      <c r="R156" t="s">
        <v>437</v>
      </c>
      <c r="S156" t="s">
        <v>537</v>
      </c>
    </row>
    <row r="157" spans="1:22" ht="15" customHeight="1" x14ac:dyDescent="0.25">
      <c r="A157">
        <v>14</v>
      </c>
      <c r="B157" t="s">
        <v>400</v>
      </c>
      <c r="C157" t="s">
        <v>313</v>
      </c>
      <c r="D157" t="s">
        <v>401</v>
      </c>
      <c r="E157" t="s">
        <v>402</v>
      </c>
      <c r="F157" t="s">
        <v>27</v>
      </c>
      <c r="G157" t="s">
        <v>789</v>
      </c>
      <c r="H157" t="s">
        <v>891</v>
      </c>
      <c r="I157" s="15" t="s">
        <v>526</v>
      </c>
      <c r="J157" s="15" t="s">
        <v>531</v>
      </c>
      <c r="K157" t="s">
        <v>929</v>
      </c>
      <c r="M157" t="s">
        <v>387</v>
      </c>
      <c r="N157" t="s">
        <v>387</v>
      </c>
      <c r="O157">
        <v>4</v>
      </c>
      <c r="R157" t="s">
        <v>415</v>
      </c>
      <c r="S157" t="s">
        <v>535</v>
      </c>
    </row>
    <row r="158" spans="1:22" ht="15" customHeight="1" x14ac:dyDescent="0.25">
      <c r="A158">
        <v>13</v>
      </c>
      <c r="B158" t="s">
        <v>335</v>
      </c>
      <c r="C158" t="s">
        <v>313</v>
      </c>
      <c r="D158" t="s">
        <v>336</v>
      </c>
      <c r="E158" t="s">
        <v>337</v>
      </c>
      <c r="F158" t="s">
        <v>27</v>
      </c>
      <c r="G158" t="s">
        <v>789</v>
      </c>
      <c r="H158" t="s">
        <v>891</v>
      </c>
      <c r="I158" s="15" t="s">
        <v>384</v>
      </c>
      <c r="K158" t="s">
        <v>931</v>
      </c>
      <c r="M158" t="s">
        <v>347</v>
      </c>
      <c r="P158" s="6" t="s">
        <v>383</v>
      </c>
      <c r="Q158" s="6" t="s">
        <v>385</v>
      </c>
    </row>
    <row r="159" spans="1:22" ht="15" customHeight="1" x14ac:dyDescent="0.25">
      <c r="A159">
        <v>14</v>
      </c>
      <c r="B159" t="s">
        <v>400</v>
      </c>
      <c r="C159" t="s">
        <v>313</v>
      </c>
      <c r="D159" t="s">
        <v>401</v>
      </c>
      <c r="E159" t="s">
        <v>402</v>
      </c>
      <c r="F159" t="s">
        <v>27</v>
      </c>
      <c r="G159" t="s">
        <v>789</v>
      </c>
      <c r="H159" t="s">
        <v>891</v>
      </c>
      <c r="I159" s="15" t="s">
        <v>489</v>
      </c>
      <c r="J159" s="15" t="s">
        <v>491</v>
      </c>
      <c r="K159" t="s">
        <v>923</v>
      </c>
      <c r="M159" t="s">
        <v>347</v>
      </c>
      <c r="N159" t="s">
        <v>347</v>
      </c>
      <c r="O159">
        <v>10</v>
      </c>
      <c r="R159" t="s">
        <v>493</v>
      </c>
      <c r="S159" t="s">
        <v>496</v>
      </c>
    </row>
    <row r="160" spans="1:22" ht="15" customHeight="1" x14ac:dyDescent="0.25">
      <c r="A160">
        <v>14</v>
      </c>
      <c r="B160" t="s">
        <v>400</v>
      </c>
      <c r="C160" t="s">
        <v>313</v>
      </c>
      <c r="D160" t="s">
        <v>401</v>
      </c>
      <c r="E160" t="s">
        <v>402</v>
      </c>
      <c r="F160" t="s">
        <v>27</v>
      </c>
      <c r="G160" t="s">
        <v>789</v>
      </c>
      <c r="H160" t="s">
        <v>891</v>
      </c>
      <c r="I160" s="15" t="s">
        <v>490</v>
      </c>
      <c r="J160" s="15" t="s">
        <v>491</v>
      </c>
      <c r="M160" t="s">
        <v>362</v>
      </c>
      <c r="N160" t="s">
        <v>362</v>
      </c>
      <c r="O160">
        <v>100</v>
      </c>
      <c r="R160" t="s">
        <v>494</v>
      </c>
      <c r="S160" t="s">
        <v>497</v>
      </c>
    </row>
    <row r="161" spans="1:22" ht="15" customHeight="1" x14ac:dyDescent="0.25">
      <c r="A161">
        <v>14</v>
      </c>
      <c r="B161" t="s">
        <v>400</v>
      </c>
      <c r="C161" t="s">
        <v>313</v>
      </c>
      <c r="D161" t="s">
        <v>401</v>
      </c>
      <c r="E161" t="s">
        <v>402</v>
      </c>
      <c r="F161" t="s">
        <v>27</v>
      </c>
      <c r="G161" t="s">
        <v>789</v>
      </c>
      <c r="H161" t="s">
        <v>891</v>
      </c>
      <c r="I161" s="15" t="s">
        <v>527</v>
      </c>
      <c r="J161" s="15" t="s">
        <v>531</v>
      </c>
      <c r="K161" t="s">
        <v>923</v>
      </c>
      <c r="M161" t="s">
        <v>347</v>
      </c>
      <c r="N161" t="s">
        <v>347</v>
      </c>
      <c r="O161">
        <v>100</v>
      </c>
      <c r="R161" t="s">
        <v>438</v>
      </c>
      <c r="S161" t="s">
        <v>519</v>
      </c>
    </row>
    <row r="162" spans="1:22" ht="15" customHeight="1" x14ac:dyDescent="0.25">
      <c r="A162">
        <v>14</v>
      </c>
      <c r="B162" t="s">
        <v>400</v>
      </c>
      <c r="C162" t="s">
        <v>313</v>
      </c>
      <c r="D162" t="s">
        <v>401</v>
      </c>
      <c r="E162" t="s">
        <v>402</v>
      </c>
      <c r="F162" t="s">
        <v>27</v>
      </c>
      <c r="G162" t="s">
        <v>789</v>
      </c>
      <c r="H162" t="s">
        <v>891</v>
      </c>
      <c r="I162" s="15" t="s">
        <v>530</v>
      </c>
      <c r="J162" s="15" t="s">
        <v>531</v>
      </c>
      <c r="K162" t="s">
        <v>919</v>
      </c>
      <c r="M162">
        <v>99</v>
      </c>
      <c r="N162" t="s">
        <v>347</v>
      </c>
      <c r="O162">
        <v>1</v>
      </c>
      <c r="R162" t="s">
        <v>534</v>
      </c>
      <c r="S162" t="s">
        <v>440</v>
      </c>
    </row>
    <row r="163" spans="1:22" ht="15" customHeight="1" x14ac:dyDescent="0.25">
      <c r="A163">
        <v>4</v>
      </c>
      <c r="B163" t="s">
        <v>70</v>
      </c>
      <c r="C163" t="s">
        <v>57</v>
      </c>
      <c r="D163" t="s">
        <v>71</v>
      </c>
      <c r="E163" t="s">
        <v>24</v>
      </c>
      <c r="F163" t="s">
        <v>27</v>
      </c>
      <c r="G163" t="s">
        <v>789</v>
      </c>
      <c r="H163" t="s">
        <v>891</v>
      </c>
      <c r="I163" s="15" t="s">
        <v>86</v>
      </c>
      <c r="J163" s="15" t="s">
        <v>72</v>
      </c>
      <c r="V163" t="s">
        <v>87</v>
      </c>
    </row>
    <row r="164" spans="1:22" ht="15" customHeight="1" x14ac:dyDescent="0.25">
      <c r="A164">
        <v>2</v>
      </c>
      <c r="B164" t="s">
        <v>36</v>
      </c>
      <c r="C164" t="s">
        <v>22</v>
      </c>
      <c r="D164" t="s">
        <v>37</v>
      </c>
      <c r="E164" t="s">
        <v>38</v>
      </c>
      <c r="F164" t="s">
        <v>27</v>
      </c>
      <c r="G164" t="s">
        <v>789</v>
      </c>
      <c r="H164" t="s">
        <v>892</v>
      </c>
      <c r="J164" s="15" t="s">
        <v>43</v>
      </c>
      <c r="R164" t="s">
        <v>1039</v>
      </c>
    </row>
    <row r="165" spans="1:22" ht="15" customHeight="1" x14ac:dyDescent="0.25">
      <c r="A165">
        <v>4</v>
      </c>
      <c r="B165" t="s">
        <v>70</v>
      </c>
      <c r="C165" t="s">
        <v>57</v>
      </c>
      <c r="D165" t="s">
        <v>71</v>
      </c>
      <c r="E165" t="s">
        <v>24</v>
      </c>
      <c r="F165" t="s">
        <v>27</v>
      </c>
      <c r="G165" t="s">
        <v>789</v>
      </c>
      <c r="H165" t="s">
        <v>892</v>
      </c>
      <c r="I165" s="15" t="s">
        <v>86</v>
      </c>
      <c r="J165" s="15" t="s">
        <v>72</v>
      </c>
      <c r="V165" t="s">
        <v>87</v>
      </c>
    </row>
    <row r="166" spans="1:22" ht="15" customHeight="1" x14ac:dyDescent="0.25">
      <c r="A166">
        <v>4</v>
      </c>
      <c r="B166" t="s">
        <v>70</v>
      </c>
      <c r="C166" t="s">
        <v>57</v>
      </c>
      <c r="D166" t="s">
        <v>71</v>
      </c>
      <c r="E166" t="s">
        <v>24</v>
      </c>
      <c r="F166" t="s">
        <v>27</v>
      </c>
      <c r="G166" t="s">
        <v>789</v>
      </c>
      <c r="H166" t="s">
        <v>892</v>
      </c>
      <c r="I166" s="15" t="s">
        <v>91</v>
      </c>
      <c r="J166" s="15" t="s">
        <v>88</v>
      </c>
      <c r="V166" t="s">
        <v>92</v>
      </c>
    </row>
    <row r="167" spans="1:22" ht="15" customHeight="1" x14ac:dyDescent="0.25">
      <c r="A167">
        <v>10</v>
      </c>
      <c r="B167" t="s">
        <v>233</v>
      </c>
      <c r="C167" t="s">
        <v>223</v>
      </c>
      <c r="D167" t="s">
        <v>234</v>
      </c>
      <c r="E167" t="s">
        <v>59</v>
      </c>
      <c r="F167" t="s">
        <v>703</v>
      </c>
      <c r="G167" t="s">
        <v>789</v>
      </c>
      <c r="H167" t="s">
        <v>892</v>
      </c>
      <c r="I167" s="15" t="s">
        <v>256</v>
      </c>
      <c r="P167" s="6" t="s">
        <v>257</v>
      </c>
      <c r="R167" t="s">
        <v>1040</v>
      </c>
    </row>
    <row r="168" spans="1:22" ht="15" customHeight="1" x14ac:dyDescent="0.25">
      <c r="A168">
        <v>18</v>
      </c>
      <c r="B168" t="s">
        <v>589</v>
      </c>
      <c r="C168" t="s">
        <v>590</v>
      </c>
      <c r="D168" t="s">
        <v>591</v>
      </c>
      <c r="E168" t="s">
        <v>592</v>
      </c>
      <c r="F168" t="s">
        <v>27</v>
      </c>
      <c r="G168" t="s">
        <v>789</v>
      </c>
      <c r="H168" t="s">
        <v>892</v>
      </c>
      <c r="I168" s="15" t="s">
        <v>588</v>
      </c>
      <c r="K168" t="s">
        <v>964</v>
      </c>
      <c r="P168" s="6" t="s">
        <v>597</v>
      </c>
      <c r="Q168" t="s">
        <v>600</v>
      </c>
      <c r="R168" t="s">
        <v>1040</v>
      </c>
    </row>
    <row r="169" spans="1:22" ht="15" customHeight="1" x14ac:dyDescent="0.25">
      <c r="A169">
        <v>11</v>
      </c>
      <c r="B169" t="s">
        <v>278</v>
      </c>
      <c r="C169" t="s">
        <v>279</v>
      </c>
      <c r="D169" t="s">
        <v>280</v>
      </c>
      <c r="E169" t="s">
        <v>59</v>
      </c>
      <c r="F169" t="s">
        <v>707</v>
      </c>
      <c r="G169" t="s">
        <v>789</v>
      </c>
      <c r="H169" t="s">
        <v>893</v>
      </c>
      <c r="I169" s="15" t="s">
        <v>301</v>
      </c>
      <c r="K169" t="s">
        <v>965</v>
      </c>
      <c r="M169" t="s">
        <v>347</v>
      </c>
      <c r="N169" s="6" t="s">
        <v>990</v>
      </c>
      <c r="O169" t="s">
        <v>1009</v>
      </c>
    </row>
    <row r="170" spans="1:22" ht="15" customHeight="1" x14ac:dyDescent="0.25">
      <c r="A170">
        <v>11</v>
      </c>
      <c r="B170" t="s">
        <v>278</v>
      </c>
      <c r="C170" t="s">
        <v>279</v>
      </c>
      <c r="D170" t="s">
        <v>280</v>
      </c>
      <c r="E170" t="s">
        <v>59</v>
      </c>
      <c r="F170" t="s">
        <v>707</v>
      </c>
      <c r="G170" t="s">
        <v>789</v>
      </c>
      <c r="H170" t="s">
        <v>893</v>
      </c>
      <c r="I170" s="15" t="s">
        <v>304</v>
      </c>
      <c r="K170" t="s">
        <v>966</v>
      </c>
      <c r="M170">
        <v>99</v>
      </c>
      <c r="O170" t="s">
        <v>1010</v>
      </c>
    </row>
    <row r="171" spans="1:22" ht="15" customHeight="1" x14ac:dyDescent="0.25">
      <c r="A171">
        <v>11</v>
      </c>
      <c r="B171" t="s">
        <v>278</v>
      </c>
      <c r="C171" t="s">
        <v>279</v>
      </c>
      <c r="D171" t="s">
        <v>280</v>
      </c>
      <c r="E171" t="s">
        <v>59</v>
      </c>
      <c r="F171" t="s">
        <v>707</v>
      </c>
      <c r="G171" t="s">
        <v>789</v>
      </c>
      <c r="H171" t="s">
        <v>893</v>
      </c>
      <c r="I171" s="15" t="s">
        <v>296</v>
      </c>
      <c r="K171" t="s">
        <v>931</v>
      </c>
      <c r="M171">
        <v>99</v>
      </c>
      <c r="O171" t="s">
        <v>1011</v>
      </c>
    </row>
    <row r="172" spans="1:22" ht="15" customHeight="1" x14ac:dyDescent="0.25">
      <c r="A172">
        <v>2</v>
      </c>
      <c r="B172" t="s">
        <v>36</v>
      </c>
      <c r="C172" t="s">
        <v>22</v>
      </c>
      <c r="D172" t="s">
        <v>37</v>
      </c>
      <c r="E172" t="s">
        <v>38</v>
      </c>
      <c r="F172" t="s">
        <v>27</v>
      </c>
      <c r="G172" t="s">
        <v>789</v>
      </c>
      <c r="H172" t="s">
        <v>893</v>
      </c>
      <c r="J172" s="15" t="s">
        <v>41</v>
      </c>
      <c r="R172" t="s">
        <v>1041</v>
      </c>
    </row>
    <row r="173" spans="1:22" ht="15" customHeight="1" x14ac:dyDescent="0.25">
      <c r="A173">
        <v>2</v>
      </c>
      <c r="B173" t="s">
        <v>36</v>
      </c>
      <c r="C173" t="s">
        <v>22</v>
      </c>
      <c r="D173" t="s">
        <v>37</v>
      </c>
      <c r="E173" t="s">
        <v>38</v>
      </c>
      <c r="F173" t="s">
        <v>27</v>
      </c>
      <c r="G173" t="s">
        <v>789</v>
      </c>
      <c r="H173" t="s">
        <v>893</v>
      </c>
      <c r="J173" s="15" t="s">
        <v>47</v>
      </c>
      <c r="R173" t="s">
        <v>1042</v>
      </c>
    </row>
    <row r="174" spans="1:22" ht="15" customHeight="1" x14ac:dyDescent="0.25">
      <c r="A174">
        <v>4</v>
      </c>
      <c r="B174" t="s">
        <v>70</v>
      </c>
      <c r="C174" t="s">
        <v>57</v>
      </c>
      <c r="D174" t="s">
        <v>71</v>
      </c>
      <c r="E174" t="s">
        <v>24</v>
      </c>
      <c r="F174" t="s">
        <v>27</v>
      </c>
      <c r="G174" t="s">
        <v>789</v>
      </c>
      <c r="H174" t="s">
        <v>893</v>
      </c>
      <c r="I174" s="15" t="s">
        <v>89</v>
      </c>
      <c r="J174" s="15" t="s">
        <v>88</v>
      </c>
      <c r="V174" t="s">
        <v>87</v>
      </c>
    </row>
    <row r="175" spans="1:22" ht="15" customHeight="1" x14ac:dyDescent="0.25">
      <c r="A175">
        <v>8</v>
      </c>
      <c r="B175" t="s">
        <v>157</v>
      </c>
      <c r="C175" t="s">
        <v>57</v>
      </c>
      <c r="D175" t="s">
        <v>158</v>
      </c>
      <c r="E175" t="s">
        <v>159</v>
      </c>
      <c r="F175" t="s">
        <v>715</v>
      </c>
      <c r="G175" t="s">
        <v>789</v>
      </c>
      <c r="H175" t="s">
        <v>893</v>
      </c>
      <c r="I175" s="15" t="s">
        <v>195</v>
      </c>
      <c r="J175" s="15" t="s">
        <v>194</v>
      </c>
      <c r="K175" t="s">
        <v>967</v>
      </c>
      <c r="M175" t="s">
        <v>362</v>
      </c>
      <c r="O175">
        <v>10</v>
      </c>
      <c r="S175">
        <v>10</v>
      </c>
    </row>
    <row r="176" spans="1:22" ht="15" customHeight="1" x14ac:dyDescent="0.25">
      <c r="A176">
        <v>8</v>
      </c>
      <c r="B176" t="s">
        <v>157</v>
      </c>
      <c r="C176" t="s">
        <v>57</v>
      </c>
      <c r="D176" t="s">
        <v>158</v>
      </c>
      <c r="E176" t="s">
        <v>159</v>
      </c>
      <c r="F176" t="s">
        <v>715</v>
      </c>
      <c r="G176" t="s">
        <v>789</v>
      </c>
      <c r="H176" t="s">
        <v>893</v>
      </c>
      <c r="I176" s="15" t="s">
        <v>198</v>
      </c>
      <c r="J176" s="15" t="s">
        <v>194</v>
      </c>
      <c r="K176" t="s">
        <v>929</v>
      </c>
      <c r="M176" t="s">
        <v>387</v>
      </c>
      <c r="O176">
        <v>10</v>
      </c>
      <c r="S176">
        <v>100</v>
      </c>
    </row>
    <row r="177" spans="1:22" ht="15" customHeight="1" x14ac:dyDescent="0.25">
      <c r="A177">
        <v>10</v>
      </c>
      <c r="B177" t="s">
        <v>233</v>
      </c>
      <c r="C177" t="s">
        <v>223</v>
      </c>
      <c r="D177" t="s">
        <v>234</v>
      </c>
      <c r="E177" t="s">
        <v>59</v>
      </c>
      <c r="F177" t="s">
        <v>703</v>
      </c>
      <c r="G177" t="s">
        <v>789</v>
      </c>
      <c r="H177" t="s">
        <v>893</v>
      </c>
      <c r="I177" s="15" t="s">
        <v>273</v>
      </c>
      <c r="P177" s="6" t="s">
        <v>274</v>
      </c>
      <c r="R177" t="s">
        <v>207</v>
      </c>
    </row>
    <row r="178" spans="1:22" ht="15" customHeight="1" x14ac:dyDescent="0.25">
      <c r="A178">
        <v>11</v>
      </c>
      <c r="B178" t="s">
        <v>278</v>
      </c>
      <c r="C178" t="s">
        <v>279</v>
      </c>
      <c r="D178" t="s">
        <v>280</v>
      </c>
      <c r="E178" t="s">
        <v>59</v>
      </c>
      <c r="F178" t="s">
        <v>707</v>
      </c>
      <c r="G178" t="s">
        <v>789</v>
      </c>
      <c r="H178" t="s">
        <v>893</v>
      </c>
      <c r="I178" s="15" t="s">
        <v>285</v>
      </c>
      <c r="K178" t="s">
        <v>965</v>
      </c>
      <c r="M178" t="s">
        <v>347</v>
      </c>
      <c r="N178" s="6" t="s">
        <v>990</v>
      </c>
      <c r="O178" t="s">
        <v>1012</v>
      </c>
    </row>
    <row r="179" spans="1:22" ht="15" customHeight="1" x14ac:dyDescent="0.25">
      <c r="A179">
        <v>11</v>
      </c>
      <c r="B179" t="s">
        <v>278</v>
      </c>
      <c r="C179" t="s">
        <v>279</v>
      </c>
      <c r="D179" t="s">
        <v>280</v>
      </c>
      <c r="E179" t="s">
        <v>59</v>
      </c>
      <c r="F179" t="s">
        <v>707</v>
      </c>
      <c r="G179" t="s">
        <v>789</v>
      </c>
      <c r="H179" t="s">
        <v>893</v>
      </c>
      <c r="I179" s="15" t="s">
        <v>290</v>
      </c>
      <c r="K179" t="s">
        <v>965</v>
      </c>
      <c r="M179" t="s">
        <v>347</v>
      </c>
      <c r="N179" s="6" t="s">
        <v>990</v>
      </c>
      <c r="O179" t="s">
        <v>1013</v>
      </c>
    </row>
    <row r="180" spans="1:22" ht="15" customHeight="1" x14ac:dyDescent="0.25">
      <c r="A180">
        <v>11</v>
      </c>
      <c r="B180" t="s">
        <v>278</v>
      </c>
      <c r="C180" t="s">
        <v>279</v>
      </c>
      <c r="D180" t="s">
        <v>280</v>
      </c>
      <c r="E180" t="s">
        <v>59</v>
      </c>
      <c r="F180" t="s">
        <v>707</v>
      </c>
      <c r="G180" t="s">
        <v>789</v>
      </c>
      <c r="H180" t="s">
        <v>893</v>
      </c>
      <c r="I180" s="15" t="s">
        <v>293</v>
      </c>
      <c r="K180" t="s">
        <v>968</v>
      </c>
      <c r="M180" t="s">
        <v>347</v>
      </c>
      <c r="N180" s="6" t="s">
        <v>990</v>
      </c>
      <c r="O180" t="s">
        <v>1014</v>
      </c>
    </row>
    <row r="181" spans="1:22" ht="15" customHeight="1" x14ac:dyDescent="0.25">
      <c r="A181">
        <v>13</v>
      </c>
      <c r="B181" t="s">
        <v>335</v>
      </c>
      <c r="C181" t="s">
        <v>313</v>
      </c>
      <c r="D181" t="s">
        <v>336</v>
      </c>
      <c r="E181" t="s">
        <v>337</v>
      </c>
      <c r="F181" t="s">
        <v>27</v>
      </c>
      <c r="G181" t="s">
        <v>789</v>
      </c>
      <c r="H181" t="s">
        <v>893</v>
      </c>
      <c r="I181" s="15" t="s">
        <v>41</v>
      </c>
      <c r="K181" t="s">
        <v>1145</v>
      </c>
      <c r="M181">
        <v>99</v>
      </c>
      <c r="P181" s="6" t="s">
        <v>383</v>
      </c>
      <c r="Q181" t="s">
        <v>1024</v>
      </c>
    </row>
    <row r="182" spans="1:22" ht="15" customHeight="1" x14ac:dyDescent="0.25">
      <c r="A182">
        <v>14</v>
      </c>
      <c r="B182" t="s">
        <v>400</v>
      </c>
      <c r="C182" t="s">
        <v>313</v>
      </c>
      <c r="D182" t="s">
        <v>401</v>
      </c>
      <c r="E182" t="s">
        <v>402</v>
      </c>
      <c r="F182" t="s">
        <v>27</v>
      </c>
      <c r="G182" t="s">
        <v>789</v>
      </c>
      <c r="H182" t="s">
        <v>893</v>
      </c>
      <c r="I182" s="15" t="s">
        <v>488</v>
      </c>
      <c r="J182" s="15" t="s">
        <v>491</v>
      </c>
      <c r="K182" t="s">
        <v>923</v>
      </c>
      <c r="M182" t="s">
        <v>347</v>
      </c>
      <c r="N182" t="s">
        <v>347</v>
      </c>
      <c r="O182">
        <v>10</v>
      </c>
      <c r="R182" t="s">
        <v>492</v>
      </c>
      <c r="S182" t="s">
        <v>495</v>
      </c>
    </row>
    <row r="183" spans="1:22" ht="15" customHeight="1" x14ac:dyDescent="0.25">
      <c r="A183">
        <v>15</v>
      </c>
      <c r="B183" t="s">
        <v>542</v>
      </c>
      <c r="C183" t="s">
        <v>543</v>
      </c>
      <c r="D183" t="s">
        <v>544</v>
      </c>
      <c r="E183" t="s">
        <v>545</v>
      </c>
      <c r="F183" t="s">
        <v>27</v>
      </c>
      <c r="G183" t="s">
        <v>789</v>
      </c>
      <c r="H183" t="s">
        <v>893</v>
      </c>
      <c r="I183" s="15" t="s">
        <v>546</v>
      </c>
      <c r="R183" s="6" t="s">
        <v>547</v>
      </c>
      <c r="T183" t="s">
        <v>320</v>
      </c>
      <c r="U183" t="s">
        <v>1046</v>
      </c>
    </row>
    <row r="184" spans="1:22" ht="15" customHeight="1" x14ac:dyDescent="0.25">
      <c r="A184">
        <v>11</v>
      </c>
      <c r="B184" t="s">
        <v>278</v>
      </c>
      <c r="C184" t="s">
        <v>279</v>
      </c>
      <c r="D184" t="s">
        <v>280</v>
      </c>
      <c r="E184" t="s">
        <v>59</v>
      </c>
      <c r="F184" t="s">
        <v>707</v>
      </c>
      <c r="G184" t="s">
        <v>789</v>
      </c>
      <c r="H184" t="s">
        <v>893</v>
      </c>
      <c r="I184" s="15" t="s">
        <v>281</v>
      </c>
      <c r="K184" t="s">
        <v>954</v>
      </c>
      <c r="M184" t="s">
        <v>347</v>
      </c>
      <c r="N184" s="6" t="s">
        <v>991</v>
      </c>
      <c r="O184" t="s">
        <v>1015</v>
      </c>
    </row>
    <row r="185" spans="1:22" ht="15" customHeight="1" x14ac:dyDescent="0.25">
      <c r="A185">
        <v>11</v>
      </c>
      <c r="B185" t="s">
        <v>278</v>
      </c>
      <c r="C185" t="s">
        <v>279</v>
      </c>
      <c r="D185" t="s">
        <v>280</v>
      </c>
      <c r="E185" t="s">
        <v>59</v>
      </c>
      <c r="F185" t="s">
        <v>707</v>
      </c>
      <c r="G185" t="s">
        <v>789</v>
      </c>
      <c r="H185" t="s">
        <v>893</v>
      </c>
      <c r="I185" s="15" t="s">
        <v>298</v>
      </c>
      <c r="K185" t="s">
        <v>965</v>
      </c>
      <c r="M185" t="s">
        <v>347</v>
      </c>
      <c r="N185" s="6" t="s">
        <v>991</v>
      </c>
      <c r="O185" t="s">
        <v>1016</v>
      </c>
    </row>
    <row r="186" spans="1:22" ht="15" customHeight="1" x14ac:dyDescent="0.25">
      <c r="A186">
        <v>14</v>
      </c>
      <c r="B186" t="s">
        <v>400</v>
      </c>
      <c r="C186" t="s">
        <v>313</v>
      </c>
      <c r="D186" t="s">
        <v>401</v>
      </c>
      <c r="E186" t="s">
        <v>402</v>
      </c>
      <c r="F186" t="s">
        <v>27</v>
      </c>
      <c r="G186" t="s">
        <v>789</v>
      </c>
      <c r="H186" t="s">
        <v>894</v>
      </c>
      <c r="I186" s="15" t="s">
        <v>490</v>
      </c>
      <c r="J186" s="15" t="s">
        <v>491</v>
      </c>
      <c r="M186" t="s">
        <v>362</v>
      </c>
      <c r="N186" t="s">
        <v>362</v>
      </c>
      <c r="O186">
        <v>100</v>
      </c>
      <c r="R186" t="s">
        <v>494</v>
      </c>
      <c r="S186" t="s">
        <v>497</v>
      </c>
    </row>
    <row r="187" spans="1:22" ht="15" customHeight="1" x14ac:dyDescent="0.25">
      <c r="A187">
        <v>14</v>
      </c>
      <c r="B187" t="s">
        <v>400</v>
      </c>
      <c r="C187" t="s">
        <v>313</v>
      </c>
      <c r="D187" t="s">
        <v>401</v>
      </c>
      <c r="E187" t="s">
        <v>402</v>
      </c>
      <c r="F187" t="s">
        <v>27</v>
      </c>
      <c r="G187" t="s">
        <v>789</v>
      </c>
      <c r="H187" t="s">
        <v>894</v>
      </c>
      <c r="I187" s="15" t="s">
        <v>528</v>
      </c>
      <c r="J187" s="15" t="s">
        <v>531</v>
      </c>
      <c r="K187" t="s">
        <v>926</v>
      </c>
      <c r="M187" t="s">
        <v>362</v>
      </c>
      <c r="N187" t="s">
        <v>362</v>
      </c>
      <c r="O187">
        <v>100</v>
      </c>
      <c r="R187" t="s">
        <v>476</v>
      </c>
      <c r="S187" t="s">
        <v>536</v>
      </c>
    </row>
    <row r="188" spans="1:22" ht="15" customHeight="1" x14ac:dyDescent="0.25">
      <c r="A188">
        <v>4</v>
      </c>
      <c r="B188" t="s">
        <v>70</v>
      </c>
      <c r="C188" t="s">
        <v>57</v>
      </c>
      <c r="D188" t="s">
        <v>71</v>
      </c>
      <c r="E188" t="s">
        <v>24</v>
      </c>
      <c r="F188" t="s">
        <v>27</v>
      </c>
      <c r="G188" t="s">
        <v>789</v>
      </c>
      <c r="H188" t="s">
        <v>894</v>
      </c>
      <c r="I188" s="15" t="s">
        <v>86</v>
      </c>
      <c r="J188" s="15" t="s">
        <v>72</v>
      </c>
      <c r="V188" t="s">
        <v>87</v>
      </c>
    </row>
    <row r="189" spans="1:22" ht="15" customHeight="1" x14ac:dyDescent="0.25">
      <c r="A189">
        <v>2</v>
      </c>
      <c r="B189" t="s">
        <v>36</v>
      </c>
      <c r="C189" t="s">
        <v>22</v>
      </c>
      <c r="D189" t="s">
        <v>37</v>
      </c>
      <c r="E189" t="s">
        <v>38</v>
      </c>
      <c r="F189" t="s">
        <v>27</v>
      </c>
      <c r="G189" t="s">
        <v>789</v>
      </c>
      <c r="H189" t="s">
        <v>894</v>
      </c>
      <c r="J189" s="15" t="s">
        <v>49</v>
      </c>
      <c r="R189" t="s">
        <v>1043</v>
      </c>
    </row>
    <row r="190" spans="1:22" ht="15" customHeight="1" x14ac:dyDescent="0.25">
      <c r="A190">
        <v>8</v>
      </c>
      <c r="B190" t="s">
        <v>157</v>
      </c>
      <c r="C190" t="s">
        <v>57</v>
      </c>
      <c r="D190" t="s">
        <v>158</v>
      </c>
      <c r="E190" t="s">
        <v>159</v>
      </c>
      <c r="F190" t="s">
        <v>715</v>
      </c>
      <c r="G190" t="s">
        <v>789</v>
      </c>
      <c r="H190" t="s">
        <v>894</v>
      </c>
      <c r="I190" s="15" t="s">
        <v>201</v>
      </c>
      <c r="J190" s="15" t="s">
        <v>200</v>
      </c>
      <c r="K190" t="s">
        <v>969</v>
      </c>
      <c r="M190">
        <v>99</v>
      </c>
      <c r="O190">
        <v>30</v>
      </c>
      <c r="S190">
        <v>900</v>
      </c>
    </row>
    <row r="191" spans="1:22" ht="15" customHeight="1" x14ac:dyDescent="0.25">
      <c r="A191">
        <v>8</v>
      </c>
      <c r="B191" t="s">
        <v>157</v>
      </c>
      <c r="C191" t="s">
        <v>57</v>
      </c>
      <c r="D191" t="s">
        <v>158</v>
      </c>
      <c r="E191" t="s">
        <v>159</v>
      </c>
      <c r="F191" t="s">
        <v>715</v>
      </c>
      <c r="G191" t="s">
        <v>789</v>
      </c>
      <c r="H191" t="s">
        <v>894</v>
      </c>
      <c r="I191" s="15" t="s">
        <v>205</v>
      </c>
      <c r="J191" s="15" t="s">
        <v>200</v>
      </c>
      <c r="K191" t="s">
        <v>952</v>
      </c>
      <c r="M191">
        <v>99</v>
      </c>
      <c r="O191" t="s">
        <v>1017</v>
      </c>
      <c r="S191" t="s">
        <v>207</v>
      </c>
    </row>
    <row r="192" spans="1:22" ht="15" customHeight="1" x14ac:dyDescent="0.25">
      <c r="A192">
        <v>8</v>
      </c>
      <c r="B192" t="s">
        <v>157</v>
      </c>
      <c r="C192" t="s">
        <v>57</v>
      </c>
      <c r="D192" t="s">
        <v>158</v>
      </c>
      <c r="E192" t="s">
        <v>159</v>
      </c>
      <c r="F192" t="s">
        <v>715</v>
      </c>
      <c r="G192" t="s">
        <v>789</v>
      </c>
      <c r="H192" t="s">
        <v>894</v>
      </c>
      <c r="I192" s="15" t="s">
        <v>208</v>
      </c>
      <c r="J192" s="15" t="s">
        <v>200</v>
      </c>
      <c r="K192" t="s">
        <v>952</v>
      </c>
      <c r="M192">
        <v>99</v>
      </c>
      <c r="O192" t="s">
        <v>1018</v>
      </c>
      <c r="S192">
        <v>60</v>
      </c>
    </row>
    <row r="193" spans="1:22" ht="15" customHeight="1" x14ac:dyDescent="0.25">
      <c r="A193">
        <v>8</v>
      </c>
      <c r="B193" t="s">
        <v>157</v>
      </c>
      <c r="C193" t="s">
        <v>57</v>
      </c>
      <c r="D193" t="s">
        <v>158</v>
      </c>
      <c r="E193" t="s">
        <v>159</v>
      </c>
      <c r="F193" t="s">
        <v>715</v>
      </c>
      <c r="G193" t="s">
        <v>789</v>
      </c>
      <c r="H193" t="s">
        <v>894</v>
      </c>
      <c r="I193" s="15" t="s">
        <v>213</v>
      </c>
      <c r="J193" s="15" t="s">
        <v>200</v>
      </c>
      <c r="K193" t="s">
        <v>969</v>
      </c>
      <c r="M193">
        <v>99</v>
      </c>
      <c r="O193" t="s">
        <v>1018</v>
      </c>
      <c r="S193">
        <v>700</v>
      </c>
    </row>
    <row r="194" spans="1:22" ht="15" customHeight="1" x14ac:dyDescent="0.25">
      <c r="A194">
        <v>15</v>
      </c>
      <c r="B194" t="s">
        <v>542</v>
      </c>
      <c r="C194" t="s">
        <v>543</v>
      </c>
      <c r="D194" t="s">
        <v>544</v>
      </c>
      <c r="E194" t="s">
        <v>545</v>
      </c>
      <c r="F194" t="s">
        <v>27</v>
      </c>
      <c r="G194" t="s">
        <v>789</v>
      </c>
      <c r="H194" t="s">
        <v>894</v>
      </c>
      <c r="I194" s="15" t="s">
        <v>549</v>
      </c>
      <c r="R194" s="6" t="s">
        <v>551</v>
      </c>
      <c r="T194" t="s">
        <v>550</v>
      </c>
      <c r="U194" t="s">
        <v>1047</v>
      </c>
    </row>
    <row r="195" spans="1:22" ht="15" customHeight="1" x14ac:dyDescent="0.25">
      <c r="A195">
        <v>13</v>
      </c>
      <c r="B195" t="s">
        <v>335</v>
      </c>
      <c r="C195" t="s">
        <v>313</v>
      </c>
      <c r="D195" t="s">
        <v>336</v>
      </c>
      <c r="E195" t="s">
        <v>337</v>
      </c>
      <c r="F195" t="s">
        <v>27</v>
      </c>
      <c r="G195" t="s">
        <v>789</v>
      </c>
      <c r="H195" t="s">
        <v>894</v>
      </c>
      <c r="I195" s="15" t="s">
        <v>801</v>
      </c>
      <c r="K195" t="s">
        <v>1145</v>
      </c>
      <c r="M195">
        <v>99</v>
      </c>
      <c r="P195" s="6" t="s">
        <v>383</v>
      </c>
      <c r="Q195" t="s">
        <v>1024</v>
      </c>
    </row>
    <row r="196" spans="1:22" s="4" customFormat="1" ht="15" customHeight="1" x14ac:dyDescent="0.25">
      <c r="I196" s="22"/>
      <c r="J196" s="22"/>
    </row>
    <row r="197" spans="1:22" ht="15" customHeight="1" x14ac:dyDescent="0.25">
      <c r="A197">
        <v>5</v>
      </c>
      <c r="B197" t="s">
        <v>96</v>
      </c>
      <c r="C197" t="s">
        <v>57</v>
      </c>
      <c r="D197" t="s">
        <v>97</v>
      </c>
      <c r="E197" t="s">
        <v>98</v>
      </c>
      <c r="F197" t="s">
        <v>724</v>
      </c>
      <c r="G197" t="s">
        <v>790</v>
      </c>
      <c r="H197" t="s">
        <v>905</v>
      </c>
      <c r="I197" s="15" t="s">
        <v>182</v>
      </c>
      <c r="K197" s="11" t="s">
        <v>976</v>
      </c>
      <c r="P197" s="6" t="s">
        <v>100</v>
      </c>
      <c r="V197" t="s">
        <v>102</v>
      </c>
    </row>
    <row r="198" spans="1:22" ht="15" customHeight="1" x14ac:dyDescent="0.25">
      <c r="A198">
        <v>6</v>
      </c>
      <c r="B198" t="s">
        <v>112</v>
      </c>
      <c r="C198" t="s">
        <v>57</v>
      </c>
      <c r="D198" t="s">
        <v>113</v>
      </c>
      <c r="E198" t="s">
        <v>24</v>
      </c>
      <c r="F198" t="s">
        <v>722</v>
      </c>
      <c r="G198" t="s">
        <v>790</v>
      </c>
      <c r="H198" t="s">
        <v>905</v>
      </c>
      <c r="I198" s="15" t="s">
        <v>131</v>
      </c>
      <c r="J198" s="15" t="s">
        <v>130</v>
      </c>
      <c r="K198" t="s">
        <v>974</v>
      </c>
      <c r="L198" s="6" t="s">
        <v>123</v>
      </c>
    </row>
    <row r="199" spans="1:22" ht="15" customHeight="1" x14ac:dyDescent="0.25">
      <c r="A199">
        <v>6</v>
      </c>
      <c r="B199" t="s">
        <v>112</v>
      </c>
      <c r="C199" t="s">
        <v>57</v>
      </c>
      <c r="D199" t="s">
        <v>113</v>
      </c>
      <c r="E199" t="s">
        <v>24</v>
      </c>
      <c r="F199" t="s">
        <v>722</v>
      </c>
      <c r="G199" t="s">
        <v>790</v>
      </c>
      <c r="H199" t="s">
        <v>905</v>
      </c>
      <c r="I199" s="15" t="s">
        <v>133</v>
      </c>
      <c r="J199" s="15" t="s">
        <v>130</v>
      </c>
      <c r="K199" t="s">
        <v>1141</v>
      </c>
      <c r="L199" s="6" t="s">
        <v>123</v>
      </c>
    </row>
    <row r="200" spans="1:22" ht="15" customHeight="1" x14ac:dyDescent="0.25">
      <c r="A200">
        <v>7</v>
      </c>
      <c r="B200" t="s">
        <v>143</v>
      </c>
      <c r="C200" t="s">
        <v>57</v>
      </c>
      <c r="D200" t="s">
        <v>144</v>
      </c>
      <c r="E200" t="s">
        <v>145</v>
      </c>
      <c r="F200" t="s">
        <v>27</v>
      </c>
      <c r="G200" t="s">
        <v>790</v>
      </c>
      <c r="H200" t="s">
        <v>905</v>
      </c>
      <c r="I200" s="15" t="s">
        <v>146</v>
      </c>
      <c r="K200" t="s">
        <v>1138</v>
      </c>
      <c r="M200" t="s">
        <v>407</v>
      </c>
      <c r="O200" t="s">
        <v>565</v>
      </c>
    </row>
    <row r="201" spans="1:22" ht="15" customHeight="1" x14ac:dyDescent="0.25">
      <c r="A201">
        <v>8</v>
      </c>
      <c r="B201" t="s">
        <v>157</v>
      </c>
      <c r="C201" t="s">
        <v>57</v>
      </c>
      <c r="D201" t="s">
        <v>158</v>
      </c>
      <c r="E201" t="s">
        <v>159</v>
      </c>
      <c r="F201" t="s">
        <v>715</v>
      </c>
      <c r="G201" t="s">
        <v>790</v>
      </c>
      <c r="H201" t="s">
        <v>905</v>
      </c>
      <c r="I201" s="15" t="s">
        <v>183</v>
      </c>
      <c r="J201" s="15" t="s">
        <v>182</v>
      </c>
      <c r="K201" t="s">
        <v>923</v>
      </c>
      <c r="M201" t="s">
        <v>342</v>
      </c>
      <c r="O201" t="s">
        <v>1019</v>
      </c>
    </row>
    <row r="202" spans="1:22" ht="15" customHeight="1" x14ac:dyDescent="0.25">
      <c r="A202">
        <v>8</v>
      </c>
      <c r="B202" t="s">
        <v>157</v>
      </c>
      <c r="C202" t="s">
        <v>57</v>
      </c>
      <c r="D202" t="s">
        <v>158</v>
      </c>
      <c r="E202" t="s">
        <v>159</v>
      </c>
      <c r="F202" t="s">
        <v>715</v>
      </c>
      <c r="G202" t="s">
        <v>790</v>
      </c>
      <c r="H202" t="s">
        <v>905</v>
      </c>
      <c r="I202" s="15" t="s">
        <v>185</v>
      </c>
      <c r="J202" s="15" t="s">
        <v>182</v>
      </c>
      <c r="K202" t="s">
        <v>923</v>
      </c>
      <c r="O202" t="s">
        <v>1020</v>
      </c>
      <c r="S202" t="s">
        <v>187</v>
      </c>
    </row>
    <row r="203" spans="1:22" ht="15" customHeight="1" x14ac:dyDescent="0.25">
      <c r="A203">
        <v>8</v>
      </c>
      <c r="B203" t="s">
        <v>157</v>
      </c>
      <c r="C203" t="s">
        <v>57</v>
      </c>
      <c r="D203" t="s">
        <v>158</v>
      </c>
      <c r="E203" t="s">
        <v>159</v>
      </c>
      <c r="F203" t="s">
        <v>715</v>
      </c>
      <c r="G203" t="s">
        <v>790</v>
      </c>
      <c r="H203" t="s">
        <v>905</v>
      </c>
      <c r="I203" s="15" t="s">
        <v>188</v>
      </c>
      <c r="J203" s="15" t="s">
        <v>182</v>
      </c>
      <c r="K203" t="s">
        <v>929</v>
      </c>
      <c r="M203" t="s">
        <v>347</v>
      </c>
      <c r="O203" t="s">
        <v>1019</v>
      </c>
    </row>
    <row r="204" spans="1:22" ht="15" customHeight="1" x14ac:dyDescent="0.25">
      <c r="A204">
        <v>10</v>
      </c>
      <c r="B204" t="s">
        <v>233</v>
      </c>
      <c r="C204" t="s">
        <v>223</v>
      </c>
      <c r="D204" t="s">
        <v>234</v>
      </c>
      <c r="E204" t="s">
        <v>59</v>
      </c>
      <c r="F204" t="s">
        <v>703</v>
      </c>
      <c r="G204" t="s">
        <v>790</v>
      </c>
      <c r="H204" t="s">
        <v>905</v>
      </c>
      <c r="I204" s="15" t="s">
        <v>130</v>
      </c>
      <c r="P204" s="6" t="s">
        <v>268</v>
      </c>
      <c r="R204" t="s">
        <v>565</v>
      </c>
    </row>
    <row r="205" spans="1:22" ht="15" customHeight="1" x14ac:dyDescent="0.25">
      <c r="A205">
        <v>13</v>
      </c>
      <c r="B205" t="s">
        <v>335</v>
      </c>
      <c r="C205" t="s">
        <v>313</v>
      </c>
      <c r="D205" t="s">
        <v>336</v>
      </c>
      <c r="E205" t="s">
        <v>59</v>
      </c>
      <c r="F205" t="s">
        <v>737</v>
      </c>
      <c r="G205" t="s">
        <v>790</v>
      </c>
      <c r="H205" t="s">
        <v>905</v>
      </c>
      <c r="I205" s="15" t="s">
        <v>793</v>
      </c>
      <c r="K205" t="s">
        <v>941</v>
      </c>
      <c r="M205" t="s">
        <v>338</v>
      </c>
    </row>
    <row r="206" spans="1:22" ht="15" customHeight="1" x14ac:dyDescent="0.25">
      <c r="A206">
        <v>13</v>
      </c>
      <c r="B206" t="s">
        <v>335</v>
      </c>
      <c r="C206" t="s">
        <v>313</v>
      </c>
      <c r="D206" t="s">
        <v>336</v>
      </c>
      <c r="E206" t="s">
        <v>59</v>
      </c>
      <c r="F206" t="s">
        <v>737</v>
      </c>
      <c r="G206" t="s">
        <v>790</v>
      </c>
      <c r="H206" t="s">
        <v>905</v>
      </c>
      <c r="I206" s="15" t="s">
        <v>793</v>
      </c>
      <c r="K206" t="s">
        <v>925</v>
      </c>
      <c r="M206" t="s">
        <v>342</v>
      </c>
    </row>
    <row r="207" spans="1:22" ht="15" customHeight="1" x14ac:dyDescent="0.25">
      <c r="A207">
        <v>13</v>
      </c>
      <c r="B207" t="s">
        <v>335</v>
      </c>
      <c r="C207" t="s">
        <v>313</v>
      </c>
      <c r="D207" t="s">
        <v>336</v>
      </c>
      <c r="E207" t="s">
        <v>59</v>
      </c>
      <c r="F207" t="s">
        <v>737</v>
      </c>
      <c r="G207" t="s">
        <v>790</v>
      </c>
      <c r="H207" t="s">
        <v>905</v>
      </c>
      <c r="I207" s="15" t="s">
        <v>796</v>
      </c>
      <c r="K207" t="s">
        <v>926</v>
      </c>
      <c r="M207" t="s">
        <v>345</v>
      </c>
    </row>
    <row r="208" spans="1:22" ht="15" customHeight="1" x14ac:dyDescent="0.25">
      <c r="A208">
        <v>13</v>
      </c>
      <c r="B208" t="s">
        <v>335</v>
      </c>
      <c r="C208" t="s">
        <v>313</v>
      </c>
      <c r="D208" t="s">
        <v>336</v>
      </c>
      <c r="E208" t="s">
        <v>59</v>
      </c>
      <c r="F208" t="s">
        <v>737</v>
      </c>
      <c r="G208" t="s">
        <v>790</v>
      </c>
      <c r="H208" t="s">
        <v>905</v>
      </c>
      <c r="I208" s="15" t="s">
        <v>793</v>
      </c>
      <c r="K208" t="s">
        <v>931</v>
      </c>
      <c r="M208" t="s">
        <v>347</v>
      </c>
    </row>
    <row r="209" spans="1:22" ht="15" customHeight="1" x14ac:dyDescent="0.25">
      <c r="A209">
        <v>13</v>
      </c>
      <c r="B209" t="s">
        <v>335</v>
      </c>
      <c r="C209" t="s">
        <v>313</v>
      </c>
      <c r="D209" t="s">
        <v>336</v>
      </c>
      <c r="E209" t="s">
        <v>59</v>
      </c>
      <c r="F209" t="s">
        <v>737</v>
      </c>
      <c r="G209" t="s">
        <v>790</v>
      </c>
      <c r="H209" t="s">
        <v>905</v>
      </c>
      <c r="I209" s="15" t="s">
        <v>793</v>
      </c>
      <c r="K209" t="s">
        <v>926</v>
      </c>
      <c r="M209" t="s">
        <v>345</v>
      </c>
    </row>
    <row r="210" spans="1:22" ht="15" customHeight="1" x14ac:dyDescent="0.25">
      <c r="A210">
        <v>13</v>
      </c>
      <c r="B210" t="s">
        <v>335</v>
      </c>
      <c r="C210" t="s">
        <v>313</v>
      </c>
      <c r="D210" t="s">
        <v>336</v>
      </c>
      <c r="E210" t="s">
        <v>59</v>
      </c>
      <c r="F210" t="s">
        <v>737</v>
      </c>
      <c r="G210" t="s">
        <v>790</v>
      </c>
      <c r="H210" t="s">
        <v>905</v>
      </c>
      <c r="I210" s="15" t="s">
        <v>799</v>
      </c>
      <c r="K210" t="s">
        <v>927</v>
      </c>
      <c r="M210" t="s">
        <v>347</v>
      </c>
    </row>
    <row r="211" spans="1:22" ht="15" customHeight="1" x14ac:dyDescent="0.25">
      <c r="A211">
        <v>13</v>
      </c>
      <c r="B211" t="s">
        <v>335</v>
      </c>
      <c r="C211" t="s">
        <v>313</v>
      </c>
      <c r="D211" t="s">
        <v>336</v>
      </c>
      <c r="E211" t="s">
        <v>59</v>
      </c>
      <c r="F211" t="s">
        <v>737</v>
      </c>
      <c r="G211" t="s">
        <v>790</v>
      </c>
      <c r="H211" t="s">
        <v>905</v>
      </c>
      <c r="I211" s="15" t="s">
        <v>356</v>
      </c>
      <c r="J211" s="15" t="s">
        <v>182</v>
      </c>
      <c r="K211" t="s">
        <v>942</v>
      </c>
      <c r="N211" s="6" t="s">
        <v>709</v>
      </c>
    </row>
    <row r="212" spans="1:22" ht="15" customHeight="1" x14ac:dyDescent="0.25">
      <c r="A212">
        <v>13</v>
      </c>
      <c r="B212" t="s">
        <v>335</v>
      </c>
      <c r="C212" t="s">
        <v>313</v>
      </c>
      <c r="D212" t="s">
        <v>336</v>
      </c>
      <c r="E212" t="s">
        <v>59</v>
      </c>
      <c r="F212" t="s">
        <v>737</v>
      </c>
      <c r="G212" t="s">
        <v>790</v>
      </c>
      <c r="H212" t="s">
        <v>905</v>
      </c>
      <c r="I212" s="15" t="s">
        <v>367</v>
      </c>
      <c r="J212" s="15" t="s">
        <v>182</v>
      </c>
      <c r="K212" t="s">
        <v>942</v>
      </c>
      <c r="N212" s="6" t="s">
        <v>709</v>
      </c>
    </row>
    <row r="213" spans="1:22" ht="15" customHeight="1" x14ac:dyDescent="0.25">
      <c r="A213">
        <v>13</v>
      </c>
      <c r="B213" t="s">
        <v>335</v>
      </c>
      <c r="C213" t="s">
        <v>313</v>
      </c>
      <c r="D213" t="s">
        <v>336</v>
      </c>
      <c r="E213" t="s">
        <v>59</v>
      </c>
      <c r="F213" t="s">
        <v>737</v>
      </c>
      <c r="G213" t="s">
        <v>790</v>
      </c>
      <c r="H213" t="s">
        <v>905</v>
      </c>
      <c r="I213" s="15" t="s">
        <v>358</v>
      </c>
      <c r="J213" s="15" t="s">
        <v>182</v>
      </c>
      <c r="K213" t="s">
        <v>975</v>
      </c>
      <c r="M213" t="s">
        <v>359</v>
      </c>
    </row>
    <row r="214" spans="1:22" ht="15" customHeight="1" x14ac:dyDescent="0.25">
      <c r="A214">
        <v>13</v>
      </c>
      <c r="B214" t="s">
        <v>335</v>
      </c>
      <c r="C214" t="s">
        <v>313</v>
      </c>
      <c r="D214" t="s">
        <v>336</v>
      </c>
      <c r="E214" t="s">
        <v>59</v>
      </c>
      <c r="F214" t="s">
        <v>737</v>
      </c>
      <c r="G214" t="s">
        <v>790</v>
      </c>
      <c r="H214" t="s">
        <v>905</v>
      </c>
      <c r="I214" s="15" t="s">
        <v>365</v>
      </c>
      <c r="J214" s="15" t="s">
        <v>182</v>
      </c>
      <c r="K214" t="s">
        <v>926</v>
      </c>
      <c r="M214" t="s">
        <v>362</v>
      </c>
    </row>
    <row r="215" spans="1:22" ht="15" customHeight="1" x14ac:dyDescent="0.25">
      <c r="A215">
        <v>13</v>
      </c>
      <c r="B215" t="s">
        <v>335</v>
      </c>
      <c r="C215" t="s">
        <v>313</v>
      </c>
      <c r="D215" t="s">
        <v>336</v>
      </c>
      <c r="E215" t="s">
        <v>337</v>
      </c>
      <c r="F215" t="s">
        <v>27</v>
      </c>
      <c r="G215" t="s">
        <v>790</v>
      </c>
      <c r="H215" t="s">
        <v>905</v>
      </c>
      <c r="I215" s="15" t="s">
        <v>390</v>
      </c>
      <c r="K215" t="s">
        <v>929</v>
      </c>
      <c r="M215" t="s">
        <v>347</v>
      </c>
      <c r="O215" t="s">
        <v>1027</v>
      </c>
      <c r="P215" s="6" t="s">
        <v>392</v>
      </c>
      <c r="Q215" t="s">
        <v>1028</v>
      </c>
    </row>
    <row r="216" spans="1:22" ht="15" customHeight="1" x14ac:dyDescent="0.25">
      <c r="A216">
        <v>15</v>
      </c>
      <c r="B216" t="s">
        <v>542</v>
      </c>
      <c r="C216" t="s">
        <v>543</v>
      </c>
      <c r="D216" t="s">
        <v>544</v>
      </c>
      <c r="E216" t="s">
        <v>562</v>
      </c>
      <c r="F216" t="s">
        <v>738</v>
      </c>
      <c r="G216" t="s">
        <v>790</v>
      </c>
      <c r="H216" t="s">
        <v>905</v>
      </c>
      <c r="I216" s="15" t="s">
        <v>563</v>
      </c>
      <c r="K216" t="s">
        <v>1138</v>
      </c>
      <c r="M216" t="s">
        <v>347</v>
      </c>
      <c r="O216" s="11" t="s">
        <v>241</v>
      </c>
    </row>
    <row r="217" spans="1:22" ht="15" customHeight="1" x14ac:dyDescent="0.25">
      <c r="A217">
        <v>19</v>
      </c>
      <c r="B217" t="s">
        <v>613</v>
      </c>
      <c r="C217" t="s">
        <v>614</v>
      </c>
      <c r="D217" t="s">
        <v>615</v>
      </c>
      <c r="E217" t="s">
        <v>616</v>
      </c>
      <c r="F217" t="s">
        <v>740</v>
      </c>
      <c r="G217" t="s">
        <v>790</v>
      </c>
      <c r="H217" t="s">
        <v>905</v>
      </c>
      <c r="I217" s="15" t="s">
        <v>617</v>
      </c>
      <c r="K217" t="s">
        <v>952</v>
      </c>
      <c r="O217" t="s">
        <v>1021</v>
      </c>
      <c r="P217" t="s">
        <v>619</v>
      </c>
    </row>
    <row r="218" spans="1:22" ht="15" customHeight="1" x14ac:dyDescent="0.25">
      <c r="A218">
        <v>14</v>
      </c>
      <c r="B218" t="s">
        <v>400</v>
      </c>
      <c r="C218" t="s">
        <v>313</v>
      </c>
      <c r="D218" t="s">
        <v>401</v>
      </c>
      <c r="E218" t="s">
        <v>402</v>
      </c>
      <c r="F218" t="s">
        <v>27</v>
      </c>
      <c r="G218" t="s">
        <v>790</v>
      </c>
      <c r="H218" t="s">
        <v>905</v>
      </c>
      <c r="I218" s="15" t="s">
        <v>511</v>
      </c>
      <c r="J218" s="15" t="s">
        <v>514</v>
      </c>
      <c r="K218" t="s">
        <v>923</v>
      </c>
      <c r="M218" t="s">
        <v>347</v>
      </c>
      <c r="N218" t="s">
        <v>347</v>
      </c>
      <c r="O218">
        <v>100</v>
      </c>
      <c r="R218" t="s">
        <v>516</v>
      </c>
      <c r="S218" t="s">
        <v>497</v>
      </c>
    </row>
    <row r="219" spans="1:22" ht="15" customHeight="1" x14ac:dyDescent="0.25">
      <c r="A219">
        <v>4</v>
      </c>
      <c r="B219" t="s">
        <v>70</v>
      </c>
      <c r="C219" t="s">
        <v>57</v>
      </c>
      <c r="D219" t="s">
        <v>71</v>
      </c>
      <c r="E219" t="s">
        <v>24</v>
      </c>
      <c r="F219" t="s">
        <v>27</v>
      </c>
      <c r="G219" t="s">
        <v>790</v>
      </c>
      <c r="H219" t="s">
        <v>906</v>
      </c>
      <c r="I219" s="15" t="s">
        <v>79</v>
      </c>
      <c r="J219" s="15" t="s">
        <v>75</v>
      </c>
      <c r="V219" t="s">
        <v>80</v>
      </c>
    </row>
    <row r="220" spans="1:22" ht="15" customHeight="1" x14ac:dyDescent="0.25">
      <c r="A220">
        <v>6</v>
      </c>
      <c r="B220" t="s">
        <v>112</v>
      </c>
      <c r="C220" t="s">
        <v>57</v>
      </c>
      <c r="D220" t="s">
        <v>113</v>
      </c>
      <c r="E220" t="s">
        <v>24</v>
      </c>
      <c r="F220" t="s">
        <v>722</v>
      </c>
      <c r="G220" t="s">
        <v>790</v>
      </c>
      <c r="H220" t="s">
        <v>906</v>
      </c>
      <c r="I220" s="15" t="s">
        <v>128</v>
      </c>
      <c r="J220" s="15" t="s">
        <v>127</v>
      </c>
      <c r="K220" t="s">
        <v>970</v>
      </c>
      <c r="L220" s="6" t="s">
        <v>123</v>
      </c>
    </row>
    <row r="221" spans="1:22" ht="15" customHeight="1" x14ac:dyDescent="0.25">
      <c r="A221">
        <v>8</v>
      </c>
      <c r="B221" t="s">
        <v>157</v>
      </c>
      <c r="C221" t="s">
        <v>57</v>
      </c>
      <c r="D221" t="s">
        <v>158</v>
      </c>
      <c r="E221" t="s">
        <v>159</v>
      </c>
      <c r="F221" t="s">
        <v>715</v>
      </c>
      <c r="G221" t="s">
        <v>790</v>
      </c>
      <c r="H221" t="s">
        <v>906</v>
      </c>
      <c r="I221" s="15" t="s">
        <v>190</v>
      </c>
      <c r="J221" s="15" t="s">
        <v>182</v>
      </c>
      <c r="K221" t="s">
        <v>971</v>
      </c>
      <c r="M221" t="s">
        <v>362</v>
      </c>
      <c r="O221" t="s">
        <v>1022</v>
      </c>
    </row>
    <row r="222" spans="1:22" ht="15" customHeight="1" x14ac:dyDescent="0.25">
      <c r="A222">
        <v>13</v>
      </c>
      <c r="B222" t="s">
        <v>335</v>
      </c>
      <c r="C222" t="s">
        <v>313</v>
      </c>
      <c r="D222" t="s">
        <v>336</v>
      </c>
      <c r="E222" t="s">
        <v>59</v>
      </c>
      <c r="F222" t="s">
        <v>737</v>
      </c>
      <c r="G222" t="s">
        <v>790</v>
      </c>
      <c r="H222" t="s">
        <v>906</v>
      </c>
      <c r="I222" s="15" t="s">
        <v>795</v>
      </c>
      <c r="K222" t="s">
        <v>925</v>
      </c>
      <c r="M222" t="s">
        <v>342</v>
      </c>
    </row>
    <row r="223" spans="1:22" ht="15" customHeight="1" x14ac:dyDescent="0.25">
      <c r="A223">
        <v>13</v>
      </c>
      <c r="B223" t="s">
        <v>335</v>
      </c>
      <c r="C223" t="s">
        <v>313</v>
      </c>
      <c r="D223" t="s">
        <v>336</v>
      </c>
      <c r="E223" t="s">
        <v>59</v>
      </c>
      <c r="F223" t="s">
        <v>737</v>
      </c>
      <c r="G223" t="s">
        <v>790</v>
      </c>
      <c r="H223" t="s">
        <v>906</v>
      </c>
      <c r="I223" s="15" t="s">
        <v>797</v>
      </c>
      <c r="K223" t="s">
        <v>926</v>
      </c>
      <c r="M223" t="s">
        <v>345</v>
      </c>
    </row>
    <row r="224" spans="1:22" ht="15" customHeight="1" x14ac:dyDescent="0.25">
      <c r="A224">
        <v>13</v>
      </c>
      <c r="B224" t="s">
        <v>335</v>
      </c>
      <c r="C224" t="s">
        <v>313</v>
      </c>
      <c r="D224" t="s">
        <v>336</v>
      </c>
      <c r="E224" t="s">
        <v>59</v>
      </c>
      <c r="F224" t="s">
        <v>737</v>
      </c>
      <c r="G224" t="s">
        <v>790</v>
      </c>
      <c r="H224" t="s">
        <v>906</v>
      </c>
      <c r="I224" s="15" t="s">
        <v>798</v>
      </c>
      <c r="K224" t="s">
        <v>926</v>
      </c>
      <c r="M224" t="s">
        <v>347</v>
      </c>
    </row>
    <row r="225" spans="1:20" ht="15" customHeight="1" x14ac:dyDescent="0.25">
      <c r="A225">
        <v>13</v>
      </c>
      <c r="B225" t="s">
        <v>335</v>
      </c>
      <c r="C225" t="s">
        <v>313</v>
      </c>
      <c r="D225" t="s">
        <v>336</v>
      </c>
      <c r="E225" t="s">
        <v>59</v>
      </c>
      <c r="F225" t="s">
        <v>737</v>
      </c>
      <c r="G225" t="s">
        <v>790</v>
      </c>
      <c r="H225" t="s">
        <v>906</v>
      </c>
      <c r="I225" s="15" t="s">
        <v>795</v>
      </c>
      <c r="K225" t="s">
        <v>927</v>
      </c>
      <c r="M225" t="s">
        <v>347</v>
      </c>
    </row>
    <row r="226" spans="1:20" ht="15" customHeight="1" x14ac:dyDescent="0.25">
      <c r="A226">
        <v>13</v>
      </c>
      <c r="B226" t="s">
        <v>335</v>
      </c>
      <c r="C226" t="s">
        <v>313</v>
      </c>
      <c r="D226" t="s">
        <v>336</v>
      </c>
      <c r="E226" t="s">
        <v>59</v>
      </c>
      <c r="F226" t="s">
        <v>737</v>
      </c>
      <c r="G226" t="s">
        <v>790</v>
      </c>
      <c r="H226" t="s">
        <v>906</v>
      </c>
      <c r="I226" s="15" t="s">
        <v>356</v>
      </c>
      <c r="J226" s="15" t="s">
        <v>369</v>
      </c>
      <c r="K226" t="s">
        <v>942</v>
      </c>
      <c r="N226" s="6" t="s">
        <v>709</v>
      </c>
    </row>
    <row r="227" spans="1:20" ht="15" customHeight="1" x14ac:dyDescent="0.25">
      <c r="A227">
        <v>13</v>
      </c>
      <c r="B227" t="s">
        <v>335</v>
      </c>
      <c r="C227" t="s">
        <v>313</v>
      </c>
      <c r="D227" t="s">
        <v>336</v>
      </c>
      <c r="E227" t="s">
        <v>59</v>
      </c>
      <c r="F227" t="s">
        <v>737</v>
      </c>
      <c r="G227" t="s">
        <v>790</v>
      </c>
      <c r="H227" t="s">
        <v>906</v>
      </c>
      <c r="I227" s="15" t="s">
        <v>367</v>
      </c>
      <c r="J227" s="15" t="s">
        <v>369</v>
      </c>
      <c r="K227" t="s">
        <v>929</v>
      </c>
      <c r="M227" t="s">
        <v>359</v>
      </c>
    </row>
    <row r="228" spans="1:20" ht="15" customHeight="1" x14ac:dyDescent="0.25">
      <c r="A228">
        <v>13</v>
      </c>
      <c r="B228" t="s">
        <v>335</v>
      </c>
      <c r="C228" t="s">
        <v>313</v>
      </c>
      <c r="D228" t="s">
        <v>336</v>
      </c>
      <c r="E228" t="s">
        <v>59</v>
      </c>
      <c r="F228" t="s">
        <v>737</v>
      </c>
      <c r="G228" t="s">
        <v>790</v>
      </c>
      <c r="H228" t="s">
        <v>906</v>
      </c>
      <c r="I228" s="15" t="s">
        <v>358</v>
      </c>
      <c r="J228" s="15" t="s">
        <v>369</v>
      </c>
      <c r="K228" t="s">
        <v>975</v>
      </c>
      <c r="M228" t="s">
        <v>359</v>
      </c>
    </row>
    <row r="229" spans="1:20" ht="15" customHeight="1" x14ac:dyDescent="0.25">
      <c r="A229">
        <v>13</v>
      </c>
      <c r="B229" t="s">
        <v>335</v>
      </c>
      <c r="C229" t="s">
        <v>313</v>
      </c>
      <c r="D229" t="s">
        <v>336</v>
      </c>
      <c r="E229" t="s">
        <v>59</v>
      </c>
      <c r="F229" t="s">
        <v>737</v>
      </c>
      <c r="G229" t="s">
        <v>790</v>
      </c>
      <c r="H229" t="s">
        <v>906</v>
      </c>
      <c r="I229" s="15" t="s">
        <v>365</v>
      </c>
      <c r="J229" s="15" t="s">
        <v>369</v>
      </c>
      <c r="K229" t="s">
        <v>943</v>
      </c>
      <c r="M229" t="s">
        <v>362</v>
      </c>
    </row>
    <row r="230" spans="1:20" ht="15" customHeight="1" x14ac:dyDescent="0.25">
      <c r="A230">
        <v>13</v>
      </c>
      <c r="B230" t="s">
        <v>335</v>
      </c>
      <c r="C230" t="s">
        <v>313</v>
      </c>
      <c r="D230" t="s">
        <v>336</v>
      </c>
      <c r="E230" t="s">
        <v>59</v>
      </c>
      <c r="F230" t="s">
        <v>737</v>
      </c>
      <c r="G230" t="s">
        <v>790</v>
      </c>
      <c r="H230" t="s">
        <v>906</v>
      </c>
      <c r="I230" s="15" t="s">
        <v>372</v>
      </c>
      <c r="J230" s="15" t="s">
        <v>369</v>
      </c>
      <c r="K230" t="s">
        <v>929</v>
      </c>
      <c r="M230" t="s">
        <v>362</v>
      </c>
    </row>
    <row r="231" spans="1:20" ht="15" customHeight="1" x14ac:dyDescent="0.25">
      <c r="A231">
        <v>6</v>
      </c>
      <c r="B231" t="s">
        <v>112</v>
      </c>
      <c r="C231" t="s">
        <v>57</v>
      </c>
      <c r="D231" t="s">
        <v>113</v>
      </c>
      <c r="E231" t="s">
        <v>24</v>
      </c>
      <c r="F231" t="s">
        <v>722</v>
      </c>
      <c r="G231" t="s">
        <v>790</v>
      </c>
      <c r="H231" t="s">
        <v>907</v>
      </c>
      <c r="I231" s="15" t="s">
        <v>135</v>
      </c>
      <c r="J231" s="15" t="s">
        <v>130</v>
      </c>
      <c r="K231" t="s">
        <v>1146</v>
      </c>
      <c r="L231" s="6" t="s">
        <v>123</v>
      </c>
    </row>
    <row r="232" spans="1:20" ht="15" customHeight="1" x14ac:dyDescent="0.25">
      <c r="A232">
        <v>8</v>
      </c>
      <c r="B232" t="s">
        <v>157</v>
      </c>
      <c r="C232" t="s">
        <v>57</v>
      </c>
      <c r="D232" t="s">
        <v>158</v>
      </c>
      <c r="E232" t="s">
        <v>159</v>
      </c>
      <c r="F232" t="s">
        <v>715</v>
      </c>
      <c r="G232" t="s">
        <v>790</v>
      </c>
      <c r="H232" t="s">
        <v>907</v>
      </c>
      <c r="I232" s="15" t="s">
        <v>215</v>
      </c>
      <c r="J232" s="15" t="s">
        <v>214</v>
      </c>
      <c r="K232" t="s">
        <v>972</v>
      </c>
      <c r="M232" t="s">
        <v>362</v>
      </c>
      <c r="O232" t="s">
        <v>1023</v>
      </c>
      <c r="S232">
        <v>480</v>
      </c>
    </row>
    <row r="233" spans="1:20" ht="15" customHeight="1" x14ac:dyDescent="0.25">
      <c r="A233">
        <v>8</v>
      </c>
      <c r="B233" t="s">
        <v>157</v>
      </c>
      <c r="C233" t="s">
        <v>57</v>
      </c>
      <c r="D233" t="s">
        <v>158</v>
      </c>
      <c r="E233" t="s">
        <v>159</v>
      </c>
      <c r="F233" t="s">
        <v>715</v>
      </c>
      <c r="G233" t="s">
        <v>790</v>
      </c>
      <c r="H233" t="s">
        <v>907</v>
      </c>
      <c r="I233" s="15" t="s">
        <v>218</v>
      </c>
      <c r="J233" s="15" t="s">
        <v>214</v>
      </c>
      <c r="K233" t="s">
        <v>1147</v>
      </c>
      <c r="M233" t="s">
        <v>362</v>
      </c>
      <c r="O233">
        <v>10</v>
      </c>
      <c r="S233">
        <v>10</v>
      </c>
    </row>
    <row r="234" spans="1:20" ht="15" customHeight="1" x14ac:dyDescent="0.25">
      <c r="A234">
        <v>8</v>
      </c>
      <c r="B234" t="s">
        <v>157</v>
      </c>
      <c r="C234" t="s">
        <v>57</v>
      </c>
      <c r="D234" t="s">
        <v>158</v>
      </c>
      <c r="E234" t="s">
        <v>159</v>
      </c>
      <c r="F234" t="s">
        <v>715</v>
      </c>
      <c r="G234" t="s">
        <v>790</v>
      </c>
      <c r="H234" t="s">
        <v>907</v>
      </c>
      <c r="I234" s="15" t="s">
        <v>219</v>
      </c>
      <c r="J234" s="15" t="s">
        <v>214</v>
      </c>
      <c r="K234" t="s">
        <v>1147</v>
      </c>
      <c r="M234" t="s">
        <v>347</v>
      </c>
      <c r="O234">
        <v>10</v>
      </c>
      <c r="S234">
        <v>10</v>
      </c>
    </row>
    <row r="235" spans="1:20" ht="15" customHeight="1" x14ac:dyDescent="0.25">
      <c r="A235">
        <v>8</v>
      </c>
      <c r="B235" t="s">
        <v>157</v>
      </c>
      <c r="C235" t="s">
        <v>57</v>
      </c>
      <c r="D235" t="s">
        <v>158</v>
      </c>
      <c r="E235" t="s">
        <v>159</v>
      </c>
      <c r="F235" t="s">
        <v>715</v>
      </c>
      <c r="G235" t="s">
        <v>790</v>
      </c>
      <c r="H235" t="s">
        <v>907</v>
      </c>
      <c r="I235" s="15" t="s">
        <v>220</v>
      </c>
      <c r="J235" s="15" t="s">
        <v>214</v>
      </c>
      <c r="K235" t="s">
        <v>952</v>
      </c>
      <c r="M235" t="s">
        <v>342</v>
      </c>
      <c r="O235">
        <v>10</v>
      </c>
      <c r="S235">
        <v>10</v>
      </c>
    </row>
    <row r="236" spans="1:20" ht="15" customHeight="1" x14ac:dyDescent="0.25">
      <c r="A236">
        <v>8</v>
      </c>
      <c r="B236" t="s">
        <v>157</v>
      </c>
      <c r="C236" t="s">
        <v>57</v>
      </c>
      <c r="D236" t="s">
        <v>158</v>
      </c>
      <c r="E236" t="s">
        <v>159</v>
      </c>
      <c r="F236" t="s">
        <v>715</v>
      </c>
      <c r="G236" t="s">
        <v>790</v>
      </c>
      <c r="H236" t="s">
        <v>907</v>
      </c>
      <c r="I236" s="15" t="s">
        <v>221</v>
      </c>
      <c r="J236" s="15" t="s">
        <v>214</v>
      </c>
      <c r="K236" t="s">
        <v>952</v>
      </c>
      <c r="M236" t="s">
        <v>342</v>
      </c>
      <c r="O236">
        <v>10</v>
      </c>
      <c r="S236">
        <v>10</v>
      </c>
    </row>
    <row r="237" spans="1:20" ht="15" customHeight="1" x14ac:dyDescent="0.25">
      <c r="A237">
        <v>13</v>
      </c>
      <c r="B237" t="s">
        <v>335</v>
      </c>
      <c r="C237" t="s">
        <v>313</v>
      </c>
      <c r="D237" t="s">
        <v>336</v>
      </c>
      <c r="E237" t="s">
        <v>337</v>
      </c>
      <c r="F237" t="s">
        <v>27</v>
      </c>
      <c r="G237" t="s">
        <v>790</v>
      </c>
      <c r="H237" t="s">
        <v>907</v>
      </c>
      <c r="I237" s="15" t="s">
        <v>393</v>
      </c>
      <c r="K237" t="s">
        <v>923</v>
      </c>
      <c r="M237" t="s">
        <v>347</v>
      </c>
      <c r="O237" t="s">
        <v>1026</v>
      </c>
      <c r="P237" s="6" t="s">
        <v>392</v>
      </c>
      <c r="Q237" t="s">
        <v>1025</v>
      </c>
    </row>
    <row r="238" spans="1:20" ht="15" customHeight="1" x14ac:dyDescent="0.25">
      <c r="A238">
        <v>12</v>
      </c>
      <c r="B238" t="s">
        <v>312</v>
      </c>
      <c r="C238" t="s">
        <v>313</v>
      </c>
      <c r="D238" t="s">
        <v>314</v>
      </c>
      <c r="E238" t="s">
        <v>315</v>
      </c>
      <c r="F238" t="s">
        <v>316</v>
      </c>
      <c r="G238" t="s">
        <v>790</v>
      </c>
      <c r="H238" t="s">
        <v>907</v>
      </c>
      <c r="I238" s="15" t="s">
        <v>317</v>
      </c>
      <c r="K238" t="s">
        <v>926</v>
      </c>
      <c r="O238" s="6">
        <v>1000</v>
      </c>
      <c r="T238" t="s">
        <v>320</v>
      </c>
    </row>
    <row r="239" spans="1:20" ht="15" customHeight="1" x14ac:dyDescent="0.25">
      <c r="A239">
        <v>12</v>
      </c>
      <c r="B239" t="s">
        <v>312</v>
      </c>
      <c r="C239" t="s">
        <v>313</v>
      </c>
      <c r="D239" t="s">
        <v>314</v>
      </c>
      <c r="E239" t="s">
        <v>315</v>
      </c>
      <c r="F239" t="s">
        <v>316</v>
      </c>
      <c r="G239" t="s">
        <v>790</v>
      </c>
      <c r="H239" t="s">
        <v>907</v>
      </c>
      <c r="I239" s="15" t="s">
        <v>321</v>
      </c>
      <c r="K239" t="s">
        <v>956</v>
      </c>
      <c r="O239" s="6">
        <v>1000</v>
      </c>
      <c r="T239" t="s">
        <v>320</v>
      </c>
    </row>
    <row r="240" spans="1:20" ht="15" customHeight="1" x14ac:dyDescent="0.25">
      <c r="A240">
        <v>12</v>
      </c>
      <c r="B240" t="s">
        <v>312</v>
      </c>
      <c r="C240" t="s">
        <v>313</v>
      </c>
      <c r="D240" t="s">
        <v>314</v>
      </c>
      <c r="E240" t="s">
        <v>315</v>
      </c>
      <c r="F240" t="s">
        <v>316</v>
      </c>
      <c r="G240" t="s">
        <v>790</v>
      </c>
      <c r="H240" t="s">
        <v>907</v>
      </c>
      <c r="I240" s="15" t="s">
        <v>324</v>
      </c>
      <c r="K240" t="s">
        <v>973</v>
      </c>
      <c r="O240" s="6">
        <v>100</v>
      </c>
      <c r="T240" t="s">
        <v>327</v>
      </c>
    </row>
    <row r="241" spans="1:20" ht="15" customHeight="1" x14ac:dyDescent="0.25">
      <c r="A241">
        <v>12</v>
      </c>
      <c r="B241" t="s">
        <v>312</v>
      </c>
      <c r="C241" t="s">
        <v>313</v>
      </c>
      <c r="D241" t="s">
        <v>314</v>
      </c>
      <c r="E241" t="s">
        <v>315</v>
      </c>
      <c r="F241" t="s">
        <v>316</v>
      </c>
      <c r="G241" t="s">
        <v>790</v>
      </c>
      <c r="H241" t="s">
        <v>907</v>
      </c>
      <c r="I241" s="15" t="s">
        <v>328</v>
      </c>
      <c r="K241" t="s">
        <v>919</v>
      </c>
      <c r="O241" s="6">
        <v>100</v>
      </c>
      <c r="T241" t="s">
        <v>330</v>
      </c>
    </row>
    <row r="242" spans="1:20" ht="15" customHeight="1" x14ac:dyDescent="0.25">
      <c r="A242">
        <v>13</v>
      </c>
      <c r="B242" t="s">
        <v>335</v>
      </c>
      <c r="C242" t="s">
        <v>313</v>
      </c>
      <c r="D242" t="s">
        <v>336</v>
      </c>
      <c r="E242" t="s">
        <v>337</v>
      </c>
      <c r="F242" t="s">
        <v>27</v>
      </c>
      <c r="G242" t="s">
        <v>790</v>
      </c>
      <c r="H242" t="s">
        <v>907</v>
      </c>
      <c r="I242" s="15" t="s">
        <v>802</v>
      </c>
      <c r="K242" t="s">
        <v>1145</v>
      </c>
      <c r="M242">
        <v>99</v>
      </c>
      <c r="P242" s="6" t="s">
        <v>383</v>
      </c>
      <c r="Q242" t="s">
        <v>1024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307E-4468-4C49-8B09-8F9BE85167BF}">
  <dimension ref="A1:AA236"/>
  <sheetViews>
    <sheetView zoomScaleNormal="100" workbookViewId="0">
      <pane ySplit="1" topLeftCell="A198" activePane="bottomLeft" state="frozen"/>
      <selection pane="bottomLeft" activeCell="A214" sqref="A214:D236"/>
    </sheetView>
  </sheetViews>
  <sheetFormatPr defaultRowHeight="15" x14ac:dyDescent="0.25"/>
  <cols>
    <col min="1" max="1" width="8.5703125" customWidth="1"/>
    <col min="2" max="2" width="18" customWidth="1"/>
    <col min="3" max="3" width="49.42578125" customWidth="1"/>
    <col min="4" max="4" width="18.7109375" customWidth="1"/>
    <col min="5" max="5" width="14" customWidth="1"/>
    <col min="6" max="6" width="13.7109375" customWidth="1"/>
    <col min="7" max="7" width="15.7109375" customWidth="1"/>
    <col min="8" max="8" width="8.28515625" customWidth="1"/>
    <col min="9" max="9" width="12" customWidth="1"/>
    <col min="10" max="10" width="9.85546875" customWidth="1"/>
    <col min="11" max="11" width="10.42578125" customWidth="1"/>
    <col min="12" max="12" width="15.7109375" customWidth="1"/>
    <col min="13" max="13" width="14" customWidth="1"/>
    <col min="14" max="14" width="13.7109375" customWidth="1"/>
    <col min="15" max="15" width="15.7109375" customWidth="1"/>
    <col min="16" max="16" width="12.28515625" customWidth="1"/>
    <col min="17" max="17" width="17.140625" customWidth="1"/>
    <col min="18" max="18" width="15.5703125" customWidth="1"/>
    <col min="19" max="19" width="12.28515625" customWidth="1"/>
    <col min="20" max="20" width="16.140625" customWidth="1"/>
    <col min="21" max="21" width="14" customWidth="1"/>
    <col min="22" max="22" width="13.7109375" customWidth="1"/>
    <col min="23" max="23" width="15.85546875" customWidth="1"/>
    <col min="24" max="24" width="12.28515625" customWidth="1"/>
    <col min="25" max="25" width="17.140625" customWidth="1"/>
    <col min="26" max="26" width="15.5703125" customWidth="1"/>
    <col min="27" max="27" width="16.85546875" customWidth="1"/>
  </cols>
  <sheetData>
    <row r="1" spans="1:27" x14ac:dyDescent="0.25">
      <c r="A1" s="1" t="s">
        <v>1</v>
      </c>
      <c r="B1" s="1" t="s">
        <v>4</v>
      </c>
      <c r="C1" s="1" t="s">
        <v>850</v>
      </c>
      <c r="D1" s="1" t="s">
        <v>1149</v>
      </c>
      <c r="E1" s="1" t="s">
        <v>1176</v>
      </c>
      <c r="F1" s="1" t="s">
        <v>1177</v>
      </c>
      <c r="G1" s="1" t="s">
        <v>1178</v>
      </c>
      <c r="H1" s="1" t="s">
        <v>1179</v>
      </c>
      <c r="I1" s="1" t="s">
        <v>1180</v>
      </c>
      <c r="J1" s="1" t="s">
        <v>1181</v>
      </c>
      <c r="K1" s="1" t="s">
        <v>1182</v>
      </c>
      <c r="L1" s="1" t="s">
        <v>332</v>
      </c>
      <c r="M1" s="1" t="s">
        <v>1183</v>
      </c>
      <c r="N1" s="1" t="s">
        <v>1184</v>
      </c>
      <c r="O1" s="1" t="s">
        <v>1185</v>
      </c>
      <c r="P1" s="1" t="s">
        <v>1186</v>
      </c>
      <c r="Q1" s="1" t="s">
        <v>1187</v>
      </c>
      <c r="R1" s="1" t="s">
        <v>1188</v>
      </c>
      <c r="S1" s="1" t="s">
        <v>1190</v>
      </c>
      <c r="T1" s="1" t="s">
        <v>561</v>
      </c>
      <c r="U1" s="1" t="s">
        <v>1195</v>
      </c>
      <c r="V1" s="1" t="s">
        <v>1196</v>
      </c>
      <c r="W1" s="1" t="s">
        <v>1197</v>
      </c>
      <c r="X1" s="1" t="s">
        <v>1198</v>
      </c>
      <c r="Y1" s="1" t="s">
        <v>1199</v>
      </c>
      <c r="Z1" s="1" t="s">
        <v>1200</v>
      </c>
      <c r="AA1" s="1" t="s">
        <v>1201</v>
      </c>
    </row>
    <row r="2" spans="1:27" x14ac:dyDescent="0.25">
      <c r="A2" t="s">
        <v>400</v>
      </c>
      <c r="B2" t="s">
        <v>786</v>
      </c>
      <c r="C2" s="12" t="s">
        <v>847</v>
      </c>
      <c r="D2" t="s">
        <v>922</v>
      </c>
      <c r="E2">
        <f t="shared" ref="E2:E51" si="0">--TRIM(MID(D2,2,FIND(",",D2)-2))</f>
        <v>30</v>
      </c>
      <c r="F2">
        <f t="shared" ref="F2:F51" si="1">--TRIM(MID(D2,FIND(",",D2)+1,LEN(D2)-FIND(",",D2)-1))</f>
        <v>30</v>
      </c>
      <c r="G2">
        <f>MIN(E2:E5)</f>
        <v>2</v>
      </c>
      <c r="H2">
        <f>MAX(F2:F5)</f>
        <v>50</v>
      </c>
      <c r="I2">
        <f>_xlfn.PERCENTILE.INC(F2:F5,0.95)</f>
        <v>46.999999999999993</v>
      </c>
      <c r="J2" t="s">
        <v>1134</v>
      </c>
      <c r="K2" t="s">
        <v>1033</v>
      </c>
      <c r="L2">
        <v>99.998999999999995</v>
      </c>
      <c r="M2">
        <v>99.998999999999995</v>
      </c>
      <c r="N2">
        <v>99.998999999999995</v>
      </c>
      <c r="O2">
        <f>MIN(M2:M5)</f>
        <v>99.998999999999995</v>
      </c>
      <c r="P2">
        <f>MAX(N2:N5)</f>
        <v>99.998999999999995</v>
      </c>
      <c r="Q2">
        <f>_xlfn.PERCENTILE.INC(N2:N5,0.95)</f>
        <v>99.998999999999995</v>
      </c>
      <c r="R2" t="s">
        <v>347</v>
      </c>
      <c r="S2" t="s">
        <v>27</v>
      </c>
      <c r="T2">
        <v>200</v>
      </c>
      <c r="U2">
        <v>200</v>
      </c>
      <c r="V2">
        <v>200</v>
      </c>
      <c r="W2">
        <f>MIN(U2:U5)</f>
        <v>25</v>
      </c>
      <c r="X2">
        <f>MAX(V2:V5)</f>
        <v>10000</v>
      </c>
      <c r="Y2">
        <f>_xlfn.PERCENTILE.INC(V2:V5,0.9)</f>
        <v>8039.9999999999982</v>
      </c>
      <c r="Z2" t="s">
        <v>1202</v>
      </c>
      <c r="AA2">
        <v>10000</v>
      </c>
    </row>
    <row r="3" spans="1:27" x14ac:dyDescent="0.25">
      <c r="A3" t="s">
        <v>400</v>
      </c>
      <c r="B3" t="s">
        <v>786</v>
      </c>
      <c r="C3" s="12" t="s">
        <v>847</v>
      </c>
      <c r="D3" t="s">
        <v>923</v>
      </c>
      <c r="E3">
        <f t="shared" si="0"/>
        <v>10</v>
      </c>
      <c r="F3">
        <f t="shared" si="1"/>
        <v>10</v>
      </c>
      <c r="L3">
        <v>99.998999999999995</v>
      </c>
      <c r="M3">
        <v>99.998999999999995</v>
      </c>
      <c r="N3">
        <v>99.998999999999995</v>
      </c>
      <c r="T3" t="s">
        <v>994</v>
      </c>
      <c r="U3">
        <v>1000</v>
      </c>
      <c r="V3">
        <v>10000</v>
      </c>
    </row>
    <row r="4" spans="1:27" x14ac:dyDescent="0.25">
      <c r="A4" t="s">
        <v>613</v>
      </c>
      <c r="B4" t="s">
        <v>786</v>
      </c>
      <c r="C4" s="12" t="s">
        <v>847</v>
      </c>
      <c r="D4" t="s">
        <v>923</v>
      </c>
      <c r="E4">
        <f t="shared" si="0"/>
        <v>10</v>
      </c>
      <c r="F4">
        <f t="shared" si="1"/>
        <v>10</v>
      </c>
      <c r="T4" t="s">
        <v>1062</v>
      </c>
      <c r="U4">
        <v>25</v>
      </c>
      <c r="V4">
        <v>70</v>
      </c>
    </row>
    <row r="5" spans="1:27" x14ac:dyDescent="0.25">
      <c r="A5" t="s">
        <v>112</v>
      </c>
      <c r="B5" t="s">
        <v>786</v>
      </c>
      <c r="C5" s="12" t="s">
        <v>847</v>
      </c>
      <c r="D5" t="s">
        <v>1133</v>
      </c>
      <c r="E5">
        <f t="shared" si="0"/>
        <v>2</v>
      </c>
      <c r="F5">
        <f t="shared" si="1"/>
        <v>50</v>
      </c>
    </row>
    <row r="6" spans="1:2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t="s">
        <v>335</v>
      </c>
      <c r="B7" t="s">
        <v>786</v>
      </c>
      <c r="C7" s="12" t="s">
        <v>846</v>
      </c>
      <c r="D7" t="s">
        <v>925</v>
      </c>
      <c r="E7">
        <f t="shared" si="0"/>
        <v>2</v>
      </c>
      <c r="F7">
        <f t="shared" si="1"/>
        <v>10</v>
      </c>
      <c r="G7">
        <f>SMALL(E7:E20,COUNTIF(E7:E20,0)+1)</f>
        <v>0.5</v>
      </c>
      <c r="H7">
        <f>MAX(F7:F20)</f>
        <v>30</v>
      </c>
      <c r="I7">
        <f>_xlfn.PERCENTILE.INC(F7:F20,0.9)</f>
        <v>18.500000000000007</v>
      </c>
      <c r="J7" t="s">
        <v>1166</v>
      </c>
      <c r="K7" t="s">
        <v>1167</v>
      </c>
      <c r="L7" t="s">
        <v>1168</v>
      </c>
      <c r="M7">
        <v>99.9</v>
      </c>
      <c r="N7">
        <v>99.998999999999995</v>
      </c>
      <c r="O7">
        <f>SMALL(M7:M20,COUNTIF(M7:M20,0)+1)</f>
        <v>99.9</v>
      </c>
      <c r="P7">
        <f>MAX(N7:N20)</f>
        <v>99.999989999999997</v>
      </c>
      <c r="Q7">
        <f>_xlfn.PERCENTILE.INC(N7:N20,0.9)</f>
        <v>99.999989999999997</v>
      </c>
      <c r="R7" t="s">
        <v>1073</v>
      </c>
      <c r="S7" t="s">
        <v>27</v>
      </c>
      <c r="W7">
        <f>SMALL(U7:U20,COUNTIF(U7:U20,0)+1)</f>
        <v>6.45</v>
      </c>
      <c r="X7">
        <f>MAX(V7:V20)</f>
        <v>1000</v>
      </c>
      <c r="Y7">
        <f>_xlfn.PERCENTILE.INC(V7:V20,0.9)</f>
        <v>639.99999999999966</v>
      </c>
      <c r="Z7" t="s">
        <v>1063</v>
      </c>
      <c r="AA7" t="s">
        <v>1203</v>
      </c>
    </row>
    <row r="8" spans="1:27" x14ac:dyDescent="0.25">
      <c r="A8" t="s">
        <v>335</v>
      </c>
      <c r="B8" t="s">
        <v>786</v>
      </c>
      <c r="C8" s="12" t="s">
        <v>846</v>
      </c>
      <c r="D8" t="s">
        <v>926</v>
      </c>
      <c r="E8">
        <f t="shared" si="0"/>
        <v>2</v>
      </c>
      <c r="F8">
        <f t="shared" si="1"/>
        <v>2</v>
      </c>
      <c r="L8">
        <v>99.998999999999995</v>
      </c>
      <c r="M8">
        <v>99.998999999999995</v>
      </c>
      <c r="N8">
        <v>99.998999999999995</v>
      </c>
    </row>
    <row r="9" spans="1:27" x14ac:dyDescent="0.25">
      <c r="A9" t="s">
        <v>335</v>
      </c>
      <c r="B9" t="s">
        <v>786</v>
      </c>
      <c r="C9" s="12" t="s">
        <v>846</v>
      </c>
      <c r="D9" t="s">
        <v>927</v>
      </c>
      <c r="E9">
        <v>0.5</v>
      </c>
      <c r="F9">
        <v>0.5</v>
      </c>
      <c r="L9">
        <v>99.998999999999995</v>
      </c>
      <c r="M9">
        <v>99.998999999999995</v>
      </c>
      <c r="N9">
        <v>99.998999999999995</v>
      </c>
    </row>
    <row r="10" spans="1:27" x14ac:dyDescent="0.25">
      <c r="A10" t="s">
        <v>335</v>
      </c>
      <c r="B10" t="s">
        <v>786</v>
      </c>
      <c r="C10" s="12" t="s">
        <v>846</v>
      </c>
      <c r="D10" t="s">
        <v>928</v>
      </c>
      <c r="E10">
        <v>0.5</v>
      </c>
      <c r="F10">
        <f t="shared" si="1"/>
        <v>2</v>
      </c>
    </row>
    <row r="11" spans="1:27" x14ac:dyDescent="0.25">
      <c r="A11" t="s">
        <v>335</v>
      </c>
      <c r="B11" t="s">
        <v>786</v>
      </c>
      <c r="C11" s="12" t="s">
        <v>846</v>
      </c>
      <c r="D11" t="s">
        <v>928</v>
      </c>
      <c r="E11">
        <v>0.5</v>
      </c>
      <c r="F11">
        <f t="shared" si="1"/>
        <v>2</v>
      </c>
      <c r="L11" t="s">
        <v>1169</v>
      </c>
      <c r="M11">
        <v>99.998999999999995</v>
      </c>
    </row>
    <row r="12" spans="1:27" x14ac:dyDescent="0.25">
      <c r="A12" t="s">
        <v>335</v>
      </c>
      <c r="B12" t="s">
        <v>786</v>
      </c>
      <c r="C12" s="12" t="s">
        <v>846</v>
      </c>
      <c r="D12" t="s">
        <v>928</v>
      </c>
      <c r="E12">
        <v>0.5</v>
      </c>
      <c r="F12">
        <f t="shared" si="1"/>
        <v>2</v>
      </c>
      <c r="L12">
        <v>99.9</v>
      </c>
      <c r="M12">
        <v>99.9</v>
      </c>
      <c r="N12">
        <v>99.9</v>
      </c>
    </row>
    <row r="13" spans="1:27" x14ac:dyDescent="0.25">
      <c r="A13" t="s">
        <v>400</v>
      </c>
      <c r="B13" t="s">
        <v>786</v>
      </c>
      <c r="C13" s="12" t="s">
        <v>846</v>
      </c>
      <c r="D13" t="s">
        <v>929</v>
      </c>
      <c r="E13">
        <f t="shared" si="0"/>
        <v>5</v>
      </c>
      <c r="F13">
        <f t="shared" si="1"/>
        <v>5</v>
      </c>
      <c r="L13">
        <v>99.998999999999995</v>
      </c>
      <c r="M13">
        <v>99.998999999999995</v>
      </c>
      <c r="N13">
        <v>99.998999999999995</v>
      </c>
      <c r="T13">
        <v>1000</v>
      </c>
      <c r="U13">
        <v>1000</v>
      </c>
      <c r="V13">
        <v>1000</v>
      </c>
    </row>
    <row r="14" spans="1:27" x14ac:dyDescent="0.25">
      <c r="A14" t="s">
        <v>400</v>
      </c>
      <c r="B14" t="s">
        <v>786</v>
      </c>
      <c r="C14" s="12" t="s">
        <v>846</v>
      </c>
      <c r="D14" t="s">
        <v>930</v>
      </c>
      <c r="E14">
        <f t="shared" si="0"/>
        <v>15</v>
      </c>
      <c r="F14">
        <f t="shared" si="1"/>
        <v>15</v>
      </c>
      <c r="L14">
        <v>99.9</v>
      </c>
      <c r="M14">
        <v>99.9</v>
      </c>
      <c r="N14">
        <v>99.9</v>
      </c>
      <c r="T14">
        <v>100</v>
      </c>
      <c r="U14">
        <v>100</v>
      </c>
      <c r="V14">
        <v>100</v>
      </c>
    </row>
    <row r="15" spans="1:27" x14ac:dyDescent="0.25">
      <c r="A15" t="s">
        <v>400</v>
      </c>
      <c r="B15" t="s">
        <v>786</v>
      </c>
      <c r="C15" s="12" t="s">
        <v>846</v>
      </c>
      <c r="D15" t="s">
        <v>930</v>
      </c>
      <c r="E15">
        <f t="shared" si="0"/>
        <v>15</v>
      </c>
      <c r="F15">
        <f t="shared" si="1"/>
        <v>15</v>
      </c>
      <c r="L15">
        <v>99.99</v>
      </c>
      <c r="M15">
        <v>99.99</v>
      </c>
      <c r="N15">
        <v>99.99</v>
      </c>
      <c r="T15">
        <v>30</v>
      </c>
      <c r="U15">
        <v>30</v>
      </c>
      <c r="V15">
        <v>30</v>
      </c>
    </row>
    <row r="16" spans="1:27" x14ac:dyDescent="0.25">
      <c r="A16" t="s">
        <v>613</v>
      </c>
      <c r="B16" t="s">
        <v>786</v>
      </c>
      <c r="C16" s="12" t="s">
        <v>846</v>
      </c>
      <c r="D16" t="s">
        <v>922</v>
      </c>
      <c r="E16">
        <f t="shared" si="0"/>
        <v>30</v>
      </c>
      <c r="F16">
        <f t="shared" si="1"/>
        <v>30</v>
      </c>
      <c r="T16" t="s">
        <v>1063</v>
      </c>
      <c r="U16">
        <v>6.45</v>
      </c>
      <c r="V16">
        <v>100</v>
      </c>
    </row>
    <row r="17" spans="1:27" x14ac:dyDescent="0.25">
      <c r="A17" t="s">
        <v>613</v>
      </c>
      <c r="B17" t="s">
        <v>786</v>
      </c>
      <c r="C17" s="12" t="s">
        <v>846</v>
      </c>
      <c r="D17" t="s">
        <v>923</v>
      </c>
      <c r="E17">
        <f t="shared" si="0"/>
        <v>10</v>
      </c>
      <c r="F17">
        <f t="shared" si="1"/>
        <v>10</v>
      </c>
      <c r="T17" t="s">
        <v>1064</v>
      </c>
      <c r="U17">
        <v>6.45</v>
      </c>
      <c r="V17">
        <v>100</v>
      </c>
    </row>
    <row r="18" spans="1:27" x14ac:dyDescent="0.25">
      <c r="A18" t="s">
        <v>112</v>
      </c>
      <c r="B18" t="s">
        <v>786</v>
      </c>
      <c r="C18" s="12" t="s">
        <v>846</v>
      </c>
      <c r="D18" t="s">
        <v>924</v>
      </c>
      <c r="E18">
        <f t="shared" si="0"/>
        <v>7</v>
      </c>
      <c r="F18">
        <f t="shared" si="1"/>
        <v>20</v>
      </c>
    </row>
    <row r="19" spans="1:27" x14ac:dyDescent="0.25">
      <c r="A19" t="s">
        <v>143</v>
      </c>
      <c r="B19" t="s">
        <v>786</v>
      </c>
      <c r="C19" s="12" t="s">
        <v>846</v>
      </c>
      <c r="D19" t="s">
        <v>1138</v>
      </c>
      <c r="E19">
        <f t="shared" si="0"/>
        <v>0</v>
      </c>
      <c r="F19">
        <f t="shared" si="1"/>
        <v>1</v>
      </c>
      <c r="L19">
        <v>99.999989999999997</v>
      </c>
      <c r="M19">
        <v>99.999989999999997</v>
      </c>
      <c r="N19">
        <v>99.999989999999997</v>
      </c>
      <c r="T19" t="s">
        <v>995</v>
      </c>
      <c r="U19">
        <v>1000000</v>
      </c>
    </row>
    <row r="20" spans="1:27" x14ac:dyDescent="0.25">
      <c r="A20" t="s">
        <v>143</v>
      </c>
      <c r="B20" t="s">
        <v>786</v>
      </c>
      <c r="C20" s="12" t="s">
        <v>846</v>
      </c>
      <c r="D20" t="s">
        <v>1138</v>
      </c>
      <c r="E20">
        <f t="shared" si="0"/>
        <v>0</v>
      </c>
      <c r="F20">
        <f t="shared" si="1"/>
        <v>1</v>
      </c>
      <c r="L20">
        <v>99.999989999999997</v>
      </c>
      <c r="M20">
        <v>99.999989999999997</v>
      </c>
      <c r="N20">
        <v>99.999989999999997</v>
      </c>
      <c r="T20" t="s">
        <v>995</v>
      </c>
      <c r="U20">
        <v>1000000</v>
      </c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t="s">
        <v>400</v>
      </c>
      <c r="B22" t="s">
        <v>786</v>
      </c>
      <c r="C22" s="12" t="s">
        <v>849</v>
      </c>
      <c r="D22" t="s">
        <v>931</v>
      </c>
      <c r="E22">
        <f t="shared" si="0"/>
        <v>1</v>
      </c>
      <c r="F22">
        <f t="shared" si="1"/>
        <v>1</v>
      </c>
      <c r="G22">
        <f>MIN(E22:E25)</f>
        <v>1</v>
      </c>
      <c r="H22">
        <f>MAX(F22:F25)</f>
        <v>7</v>
      </c>
      <c r="I22">
        <f>_xlfn.PERCENTILE.INC(F22:F25,0.9)</f>
        <v>7</v>
      </c>
      <c r="J22" t="s">
        <v>1124</v>
      </c>
      <c r="K22" t="s">
        <v>27</v>
      </c>
      <c r="L22">
        <v>95</v>
      </c>
      <c r="M22">
        <v>95</v>
      </c>
      <c r="N22">
        <v>95</v>
      </c>
      <c r="O22">
        <f>MIN(M22:M25)</f>
        <v>95</v>
      </c>
      <c r="P22">
        <f>MAX(N22:N25)</f>
        <v>99.999899999999997</v>
      </c>
      <c r="Q22">
        <f>_xlfn.PERCENTILE.INC(N22:N25,0.9)</f>
        <v>99.999899999999997</v>
      </c>
      <c r="R22" t="s">
        <v>1125</v>
      </c>
      <c r="S22" t="s">
        <v>27</v>
      </c>
      <c r="T22">
        <v>10</v>
      </c>
      <c r="U22">
        <v>10</v>
      </c>
      <c r="V22">
        <v>10</v>
      </c>
      <c r="W22">
        <f>MIN(U22:U25)</f>
        <v>10</v>
      </c>
      <c r="X22">
        <f>MAX(V22:V25)</f>
        <v>1000</v>
      </c>
      <c r="Y22">
        <f>_xlfn.PERCENTILE.INC(V22:V25,0.9)</f>
        <v>1000</v>
      </c>
      <c r="Z22" t="s">
        <v>1080</v>
      </c>
      <c r="AA22" t="s">
        <v>27</v>
      </c>
    </row>
    <row r="23" spans="1:27" x14ac:dyDescent="0.25">
      <c r="A23" t="s">
        <v>400</v>
      </c>
      <c r="B23" t="s">
        <v>786</v>
      </c>
      <c r="C23" s="12" t="s">
        <v>849</v>
      </c>
      <c r="D23" t="s">
        <v>932</v>
      </c>
      <c r="E23">
        <f t="shared" si="0"/>
        <v>7</v>
      </c>
      <c r="F23">
        <f t="shared" si="1"/>
        <v>7</v>
      </c>
      <c r="L23">
        <v>99.999899999999997</v>
      </c>
      <c r="M23">
        <v>99.999899999999997</v>
      </c>
      <c r="N23">
        <v>99.999899999999997</v>
      </c>
      <c r="T23">
        <v>1000</v>
      </c>
      <c r="U23">
        <v>1000</v>
      </c>
      <c r="V23">
        <v>1000</v>
      </c>
    </row>
    <row r="24" spans="1:27" x14ac:dyDescent="0.25">
      <c r="A24" t="s">
        <v>400</v>
      </c>
      <c r="B24" t="s">
        <v>786</v>
      </c>
      <c r="C24" s="12" t="s">
        <v>849</v>
      </c>
      <c r="D24" t="s">
        <v>932</v>
      </c>
      <c r="E24">
        <f t="shared" si="0"/>
        <v>7</v>
      </c>
      <c r="F24">
        <f t="shared" si="1"/>
        <v>7</v>
      </c>
      <c r="L24">
        <v>99.999899999999997</v>
      </c>
      <c r="M24">
        <v>99.999899999999997</v>
      </c>
      <c r="N24">
        <v>99.999899999999997</v>
      </c>
      <c r="T24">
        <v>1000</v>
      </c>
      <c r="U24">
        <v>1000</v>
      </c>
      <c r="V24">
        <v>1000</v>
      </c>
    </row>
    <row r="25" spans="1:27" x14ac:dyDescent="0.25">
      <c r="A25" t="s">
        <v>400</v>
      </c>
      <c r="B25" t="s">
        <v>786</v>
      </c>
      <c r="C25" s="12" t="s">
        <v>849</v>
      </c>
      <c r="D25" t="s">
        <v>929</v>
      </c>
      <c r="E25">
        <f t="shared" si="0"/>
        <v>5</v>
      </c>
      <c r="F25">
        <f t="shared" si="1"/>
        <v>5</v>
      </c>
      <c r="L25">
        <v>99.999899999999997</v>
      </c>
      <c r="M25">
        <v>99.999899999999997</v>
      </c>
      <c r="N25">
        <v>99.999899999999997</v>
      </c>
      <c r="T25">
        <v>1000</v>
      </c>
      <c r="U25">
        <v>1000</v>
      </c>
      <c r="V25">
        <v>1000</v>
      </c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t="s">
        <v>400</v>
      </c>
      <c r="B27" t="s">
        <v>785</v>
      </c>
      <c r="C27" s="12" t="s">
        <v>860</v>
      </c>
      <c r="D27" t="s">
        <v>923</v>
      </c>
      <c r="E27">
        <f t="shared" si="0"/>
        <v>10</v>
      </c>
      <c r="F27">
        <f t="shared" si="1"/>
        <v>10</v>
      </c>
      <c r="G27">
        <f>SMALL(E27:E30,COUNTIF(E27:E30,0)+1)</f>
        <v>10</v>
      </c>
      <c r="H27">
        <f>MAX(F27:F30)</f>
        <v>100</v>
      </c>
      <c r="I27">
        <f>_xlfn.PERCENTILE.INC(F27:F30,0.9)</f>
        <v>100</v>
      </c>
      <c r="J27" t="s">
        <v>1035</v>
      </c>
      <c r="K27" t="s">
        <v>27</v>
      </c>
      <c r="L27">
        <v>99.999999000000003</v>
      </c>
      <c r="M27">
        <v>99.999999000000003</v>
      </c>
      <c r="N27">
        <v>99.999999000000003</v>
      </c>
      <c r="O27">
        <f>SMALL(M27:M30,COUNTIF(M27:M30,0)+1)</f>
        <v>99.99</v>
      </c>
      <c r="P27">
        <f>MAX(N27:N30)</f>
        <v>99.999999000000003</v>
      </c>
      <c r="Q27">
        <f>_xlfn.PERCENTILE.INC(N27:N29,0.9)</f>
        <v>99.999799199999998</v>
      </c>
      <c r="R27" t="s">
        <v>1189</v>
      </c>
      <c r="S27" t="s">
        <v>434</v>
      </c>
      <c r="T27">
        <v>1000</v>
      </c>
      <c r="U27">
        <v>1000</v>
      </c>
      <c r="V27">
        <v>1000</v>
      </c>
      <c r="W27">
        <f>SMALL(U27:U30,COUNTIF(U27:U30,0)+1)</f>
        <v>1</v>
      </c>
      <c r="X27">
        <f>MAX(V27:V30)</f>
        <v>1000</v>
      </c>
      <c r="Y27">
        <f>_xlfn.PERCENTILE.INC(V27:V29,0.9)</f>
        <v>800.19999999999982</v>
      </c>
      <c r="Z27">
        <v>1</v>
      </c>
      <c r="AA27">
        <v>1000</v>
      </c>
    </row>
    <row r="28" spans="1:27" x14ac:dyDescent="0.25">
      <c r="A28" t="s">
        <v>400</v>
      </c>
      <c r="B28" t="s">
        <v>785</v>
      </c>
      <c r="C28" s="12" t="s">
        <v>860</v>
      </c>
      <c r="D28" t="s">
        <v>919</v>
      </c>
      <c r="E28">
        <f t="shared" si="0"/>
        <v>100</v>
      </c>
      <c r="F28">
        <f t="shared" si="1"/>
        <v>100</v>
      </c>
      <c r="L28">
        <v>99.998999999999995</v>
      </c>
      <c r="M28">
        <v>99.998999999999995</v>
      </c>
      <c r="N28">
        <v>99.998999999999995</v>
      </c>
      <c r="T28">
        <v>1</v>
      </c>
      <c r="U28">
        <v>1</v>
      </c>
      <c r="V28">
        <v>1</v>
      </c>
    </row>
    <row r="29" spans="1:27" x14ac:dyDescent="0.25">
      <c r="A29" t="s">
        <v>400</v>
      </c>
      <c r="B29" t="s">
        <v>785</v>
      </c>
      <c r="C29" s="12" t="s">
        <v>860</v>
      </c>
      <c r="D29" t="s">
        <v>919</v>
      </c>
      <c r="E29">
        <f t="shared" si="0"/>
        <v>100</v>
      </c>
      <c r="F29">
        <f t="shared" si="1"/>
        <v>100</v>
      </c>
      <c r="L29">
        <v>99.99</v>
      </c>
      <c r="M29">
        <v>99.99</v>
      </c>
      <c r="N29">
        <v>99.99</v>
      </c>
      <c r="T29">
        <v>1</v>
      </c>
      <c r="U29">
        <v>1</v>
      </c>
      <c r="V29">
        <v>1</v>
      </c>
    </row>
    <row r="30" spans="1:27" x14ac:dyDescent="0.25">
      <c r="A30" t="s">
        <v>112</v>
      </c>
      <c r="B30" t="s">
        <v>785</v>
      </c>
      <c r="C30" s="12" t="s">
        <v>860</v>
      </c>
      <c r="D30" t="s">
        <v>1138</v>
      </c>
      <c r="E30">
        <f t="shared" si="0"/>
        <v>0</v>
      </c>
      <c r="F30">
        <f t="shared" si="1"/>
        <v>1</v>
      </c>
    </row>
    <row r="31" spans="1:2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x14ac:dyDescent="0.25">
      <c r="A32" t="s">
        <v>400</v>
      </c>
      <c r="B32" t="s">
        <v>785</v>
      </c>
      <c r="C32" s="12" t="s">
        <v>859</v>
      </c>
      <c r="D32" t="s">
        <v>923</v>
      </c>
      <c r="E32">
        <f t="shared" si="0"/>
        <v>10</v>
      </c>
      <c r="F32">
        <f t="shared" si="1"/>
        <v>10</v>
      </c>
      <c r="G32">
        <f>MIN(E32:E34)</f>
        <v>10</v>
      </c>
      <c r="H32">
        <f>MAX(F32:F34)</f>
        <v>100</v>
      </c>
      <c r="I32">
        <f>_xlfn.PERCENTILE.INC(F32:F34,0.9)</f>
        <v>90</v>
      </c>
      <c r="J32" t="s">
        <v>1161</v>
      </c>
      <c r="K32">
        <v>100</v>
      </c>
      <c r="L32">
        <v>95</v>
      </c>
      <c r="M32">
        <v>95</v>
      </c>
      <c r="N32">
        <v>95</v>
      </c>
      <c r="O32">
        <f>MIN(M32:M34)</f>
        <v>95</v>
      </c>
      <c r="P32">
        <f>MAX(N32:N34)</f>
        <v>99.5</v>
      </c>
      <c r="Q32">
        <f>_xlfn.PERCENTILE.INC(N32:N34,0.9)</f>
        <v>98.6</v>
      </c>
      <c r="R32">
        <v>95</v>
      </c>
      <c r="S32" t="s">
        <v>454</v>
      </c>
      <c r="T32">
        <v>15</v>
      </c>
      <c r="U32">
        <v>15</v>
      </c>
      <c r="V32">
        <v>15</v>
      </c>
      <c r="W32">
        <f>MIN(U32:U34)</f>
        <v>10</v>
      </c>
      <c r="X32">
        <f>MAX(V32:V34)</f>
        <v>1000</v>
      </c>
      <c r="Y32">
        <f>_xlfn.PERCENTILE.INC(V32:V34,0.9)</f>
        <v>802.99999999999977</v>
      </c>
      <c r="Z32" t="s">
        <v>548</v>
      </c>
      <c r="AA32">
        <v>1000</v>
      </c>
    </row>
    <row r="33" spans="1:27" x14ac:dyDescent="0.25">
      <c r="A33" t="s">
        <v>400</v>
      </c>
      <c r="B33" t="s">
        <v>785</v>
      </c>
      <c r="C33" s="12" t="s">
        <v>859</v>
      </c>
      <c r="D33" t="s">
        <v>919</v>
      </c>
      <c r="E33">
        <f t="shared" si="0"/>
        <v>100</v>
      </c>
      <c r="F33">
        <f t="shared" si="1"/>
        <v>100</v>
      </c>
      <c r="L33">
        <v>95</v>
      </c>
      <c r="M33">
        <v>95</v>
      </c>
      <c r="N33">
        <v>95</v>
      </c>
      <c r="T33">
        <v>10</v>
      </c>
      <c r="U33">
        <v>10</v>
      </c>
      <c r="V33">
        <v>10</v>
      </c>
    </row>
    <row r="34" spans="1:27" x14ac:dyDescent="0.25">
      <c r="A34" t="s">
        <v>400</v>
      </c>
      <c r="B34" t="s">
        <v>785</v>
      </c>
      <c r="C34" s="12" t="s">
        <v>859</v>
      </c>
      <c r="D34" t="s">
        <v>933</v>
      </c>
      <c r="E34">
        <f t="shared" si="0"/>
        <v>50</v>
      </c>
      <c r="F34">
        <f t="shared" si="1"/>
        <v>50</v>
      </c>
      <c r="L34">
        <v>99.5</v>
      </c>
      <c r="M34">
        <v>99.5</v>
      </c>
      <c r="N34">
        <v>99.5</v>
      </c>
      <c r="T34">
        <v>1000</v>
      </c>
      <c r="U34">
        <v>1000</v>
      </c>
      <c r="V34">
        <v>1000</v>
      </c>
    </row>
    <row r="35" spans="1:27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x14ac:dyDescent="0.25">
      <c r="A36" t="s">
        <v>96</v>
      </c>
      <c r="B36" t="s">
        <v>785</v>
      </c>
      <c r="C36" s="12" t="s">
        <v>858</v>
      </c>
      <c r="D36" t="s">
        <v>938</v>
      </c>
      <c r="E36">
        <f t="shared" ref="E36:E41" si="2">--TRIM(MID(D36,2,FIND(",",D36)-2))</f>
        <v>20</v>
      </c>
      <c r="F36">
        <f>--TRIM(MID(D36,FIND(",",D36)+1,LEN(D36)-FIND(",",D36)-1))</f>
        <v>80</v>
      </c>
      <c r="G36">
        <f>MIN(E36:E41)</f>
        <v>10</v>
      </c>
      <c r="H36">
        <f>MAX(F36:F41)</f>
        <v>80</v>
      </c>
      <c r="I36">
        <f>_xlfn.PERCENTILE.INC(F36:F40,0.9)</f>
        <v>67.999999999999986</v>
      </c>
      <c r="J36" t="s">
        <v>1161</v>
      </c>
      <c r="K36" t="s">
        <v>1163</v>
      </c>
      <c r="O36">
        <f>MIN(M36:M41)</f>
        <v>99</v>
      </c>
      <c r="P36">
        <f>MAX(N36:N41)</f>
        <v>99.999989999999997</v>
      </c>
      <c r="Q36">
        <f>_xlfn.PERCENTILE.INC(N36:N40,0.9)</f>
        <v>99.999692999999994</v>
      </c>
      <c r="R36" t="s">
        <v>1069</v>
      </c>
      <c r="S36">
        <v>99.999989999999997</v>
      </c>
      <c r="W36">
        <f>MIN(U36:U41)</f>
        <v>0.1</v>
      </c>
      <c r="X36">
        <f>MAX(V36:V41)</f>
        <v>100</v>
      </c>
      <c r="Y36">
        <f>_xlfn.PERCENTILE.INC(V36:V40,0.9)</f>
        <v>100</v>
      </c>
      <c r="Z36" t="s">
        <v>1093</v>
      </c>
      <c r="AA36" t="s">
        <v>27</v>
      </c>
    </row>
    <row r="37" spans="1:27" x14ac:dyDescent="0.25">
      <c r="A37" t="s">
        <v>400</v>
      </c>
      <c r="B37" t="s">
        <v>785</v>
      </c>
      <c r="C37" s="12" t="s">
        <v>858</v>
      </c>
      <c r="D37" t="s">
        <v>933</v>
      </c>
      <c r="E37">
        <f t="shared" si="2"/>
        <v>50</v>
      </c>
      <c r="F37">
        <f>--TRIM(MID(D37,FIND(",",D37)+1,LEN(D37)-FIND(",",D37)-1))</f>
        <v>50</v>
      </c>
      <c r="L37">
        <v>99</v>
      </c>
      <c r="M37">
        <v>99</v>
      </c>
      <c r="N37">
        <v>99</v>
      </c>
      <c r="T37">
        <v>100</v>
      </c>
      <c r="U37">
        <v>100</v>
      </c>
      <c r="V37">
        <v>100</v>
      </c>
    </row>
    <row r="38" spans="1:27" x14ac:dyDescent="0.25">
      <c r="A38" t="s">
        <v>400</v>
      </c>
      <c r="B38" t="s">
        <v>785</v>
      </c>
      <c r="C38" s="12" t="s">
        <v>858</v>
      </c>
      <c r="D38" t="s">
        <v>923</v>
      </c>
      <c r="E38">
        <f t="shared" si="2"/>
        <v>10</v>
      </c>
      <c r="F38">
        <f>--TRIM(MID(D38,FIND(",",D38)+1,LEN(D38)-FIND(",",D38)-1))</f>
        <v>10</v>
      </c>
      <c r="L38">
        <v>99.999989999999997</v>
      </c>
      <c r="M38">
        <v>99.999989999999997</v>
      </c>
      <c r="N38">
        <v>99.999989999999997</v>
      </c>
      <c r="T38" t="s">
        <v>997</v>
      </c>
      <c r="U38">
        <v>0.1</v>
      </c>
      <c r="V38">
        <v>0.1</v>
      </c>
    </row>
    <row r="39" spans="1:27" x14ac:dyDescent="0.25">
      <c r="A39" t="s">
        <v>400</v>
      </c>
      <c r="B39" t="s">
        <v>785</v>
      </c>
      <c r="C39" s="12" t="s">
        <v>858</v>
      </c>
      <c r="D39" t="s">
        <v>923</v>
      </c>
      <c r="E39">
        <f t="shared" si="2"/>
        <v>10</v>
      </c>
      <c r="F39">
        <f>--TRIM(MID(D39,FIND(",",D39)+1,LEN(D39)-FIND(",",D39)-1))</f>
        <v>10</v>
      </c>
      <c r="L39">
        <v>99.998999999999995</v>
      </c>
      <c r="M39">
        <v>99.998999999999995</v>
      </c>
      <c r="N39">
        <v>99.998999999999995</v>
      </c>
      <c r="T39">
        <v>50</v>
      </c>
      <c r="U39">
        <v>50</v>
      </c>
      <c r="V39">
        <v>50</v>
      </c>
    </row>
    <row r="40" spans="1:27" x14ac:dyDescent="0.25">
      <c r="A40" t="s">
        <v>400</v>
      </c>
      <c r="B40" t="s">
        <v>785</v>
      </c>
      <c r="C40" s="12" t="s">
        <v>858</v>
      </c>
      <c r="D40" t="s">
        <v>923</v>
      </c>
      <c r="E40">
        <f t="shared" si="2"/>
        <v>10</v>
      </c>
      <c r="F40">
        <f>--TRIM(MID(D40,FIND(",",D40)+1,LEN(D40)-FIND(",",D40)-1))</f>
        <v>10</v>
      </c>
      <c r="L40">
        <v>99.998999999999995</v>
      </c>
      <c r="M40">
        <v>99.998999999999995</v>
      </c>
      <c r="N40">
        <v>99.998999999999995</v>
      </c>
      <c r="T40">
        <v>100</v>
      </c>
      <c r="U40">
        <v>100</v>
      </c>
      <c r="V40">
        <v>100</v>
      </c>
    </row>
    <row r="41" spans="1:27" x14ac:dyDescent="0.25">
      <c r="A41" t="s">
        <v>589</v>
      </c>
      <c r="B41" t="s">
        <v>785</v>
      </c>
      <c r="C41" s="12" t="s">
        <v>858</v>
      </c>
      <c r="D41" t="s">
        <v>939</v>
      </c>
      <c r="E41">
        <f t="shared" si="2"/>
        <v>1000</v>
      </c>
    </row>
    <row r="42" spans="1:27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x14ac:dyDescent="0.25">
      <c r="A43" t="s">
        <v>400</v>
      </c>
      <c r="B43" t="s">
        <v>744</v>
      </c>
      <c r="C43" s="12" t="s">
        <v>867</v>
      </c>
      <c r="D43" t="s">
        <v>923</v>
      </c>
      <c r="E43">
        <f t="shared" si="0"/>
        <v>10</v>
      </c>
      <c r="F43">
        <f t="shared" si="1"/>
        <v>10</v>
      </c>
      <c r="G43">
        <f>SMALL(E43:E57,COUNTIF(E43:E57,0)+1)</f>
        <v>10</v>
      </c>
      <c r="H43">
        <f>MAX(F43:F57)</f>
        <v>250</v>
      </c>
      <c r="I43">
        <f>_xlfn.PERCENTILE.INC(F43:F57,0.9)</f>
        <v>250</v>
      </c>
      <c r="J43" t="s">
        <v>1039</v>
      </c>
      <c r="K43" t="s">
        <v>27</v>
      </c>
      <c r="L43">
        <v>99.999989999999997</v>
      </c>
      <c r="M43">
        <v>99.999989999999997</v>
      </c>
      <c r="N43">
        <v>99.999989999999997</v>
      </c>
      <c r="O43">
        <f>SMALL(M43:M57,COUNTIF(M43:M57,0)+1)</f>
        <v>99.99</v>
      </c>
      <c r="P43">
        <f>MAX(N43:N57)</f>
        <v>99.999989999999997</v>
      </c>
      <c r="Q43">
        <f>_xlfn.PERCENTILE.INC(N43:N45,0.9)</f>
        <v>99.999972</v>
      </c>
      <c r="R43" t="s">
        <v>1191</v>
      </c>
      <c r="S43">
        <v>99.999989999999997</v>
      </c>
      <c r="T43">
        <v>100</v>
      </c>
      <c r="U43">
        <v>100</v>
      </c>
      <c r="V43">
        <v>100</v>
      </c>
      <c r="W43">
        <f>SMALL(U43:U57,COUNTIF(U43:U57,0)+1)</f>
        <v>3.2000000000000001E-2</v>
      </c>
      <c r="X43">
        <f>MAX(V43:V57)</f>
        <v>100</v>
      </c>
      <c r="Y43">
        <f>_xlfn.PERCENTILE.INC(V43:V57,0.9)</f>
        <v>5</v>
      </c>
      <c r="Z43" t="s">
        <v>1204</v>
      </c>
      <c r="AA43">
        <v>100</v>
      </c>
    </row>
    <row r="44" spans="1:27" x14ac:dyDescent="0.25">
      <c r="A44" t="s">
        <v>400</v>
      </c>
      <c r="B44" t="s">
        <v>744</v>
      </c>
      <c r="C44" s="12" t="s">
        <v>867</v>
      </c>
      <c r="D44" t="s">
        <v>923</v>
      </c>
      <c r="E44">
        <f t="shared" si="0"/>
        <v>10</v>
      </c>
      <c r="F44">
        <f t="shared" si="1"/>
        <v>10</v>
      </c>
      <c r="L44">
        <v>99.999899999999997</v>
      </c>
      <c r="M44">
        <v>99.999899999999997</v>
      </c>
      <c r="N44">
        <v>99.999899999999997</v>
      </c>
      <c r="T44">
        <v>5</v>
      </c>
      <c r="U44">
        <v>5</v>
      </c>
      <c r="V44">
        <v>5</v>
      </c>
    </row>
    <row r="45" spans="1:27" x14ac:dyDescent="0.25">
      <c r="A45" t="s">
        <v>542</v>
      </c>
      <c r="B45" t="s">
        <v>744</v>
      </c>
      <c r="C45" s="12" t="s">
        <v>867</v>
      </c>
      <c r="D45" t="s">
        <v>1141</v>
      </c>
      <c r="E45">
        <f t="shared" si="0"/>
        <v>0</v>
      </c>
      <c r="F45">
        <f t="shared" si="1"/>
        <v>10</v>
      </c>
      <c r="L45">
        <v>99.99</v>
      </c>
      <c r="M45">
        <v>99.99</v>
      </c>
      <c r="N45">
        <v>99.99</v>
      </c>
      <c r="T45" t="s">
        <v>371</v>
      </c>
      <c r="U45">
        <v>1</v>
      </c>
      <c r="V45">
        <v>5</v>
      </c>
    </row>
    <row r="46" spans="1:27" x14ac:dyDescent="0.25">
      <c r="A46" t="s">
        <v>570</v>
      </c>
      <c r="B46" t="s">
        <v>744</v>
      </c>
      <c r="C46" s="12" t="s">
        <v>867</v>
      </c>
      <c r="D46" t="s">
        <v>934</v>
      </c>
      <c r="E46">
        <f t="shared" si="0"/>
        <v>250</v>
      </c>
      <c r="F46">
        <f t="shared" si="1"/>
        <v>250</v>
      </c>
    </row>
    <row r="47" spans="1:27" x14ac:dyDescent="0.25">
      <c r="A47" t="s">
        <v>652</v>
      </c>
      <c r="B47" t="s">
        <v>744</v>
      </c>
      <c r="C47" s="12" t="s">
        <v>867</v>
      </c>
      <c r="D47" t="s">
        <v>1139</v>
      </c>
      <c r="E47">
        <f t="shared" si="0"/>
        <v>0</v>
      </c>
      <c r="F47">
        <f t="shared" si="1"/>
        <v>150</v>
      </c>
      <c r="T47" t="s">
        <v>998</v>
      </c>
      <c r="V47">
        <v>1E-3</v>
      </c>
    </row>
    <row r="48" spans="1:27" x14ac:dyDescent="0.25">
      <c r="A48" t="s">
        <v>652</v>
      </c>
      <c r="B48" t="s">
        <v>744</v>
      </c>
      <c r="C48" s="12" t="s">
        <v>867</v>
      </c>
      <c r="D48" t="s">
        <v>1139</v>
      </c>
      <c r="E48">
        <f t="shared" si="0"/>
        <v>0</v>
      </c>
      <c r="F48">
        <f t="shared" si="1"/>
        <v>150</v>
      </c>
      <c r="T48">
        <v>1</v>
      </c>
      <c r="U48">
        <v>1</v>
      </c>
      <c r="V48">
        <v>1</v>
      </c>
    </row>
    <row r="49" spans="1:27" x14ac:dyDescent="0.25">
      <c r="A49" t="s">
        <v>652</v>
      </c>
      <c r="B49" t="s">
        <v>744</v>
      </c>
      <c r="C49" s="12" t="s">
        <v>867</v>
      </c>
      <c r="D49" t="s">
        <v>1139</v>
      </c>
      <c r="E49">
        <f t="shared" si="0"/>
        <v>0</v>
      </c>
      <c r="F49">
        <f t="shared" si="1"/>
        <v>150</v>
      </c>
      <c r="T49" t="s">
        <v>564</v>
      </c>
      <c r="V49">
        <v>1</v>
      </c>
    </row>
    <row r="50" spans="1:27" x14ac:dyDescent="0.25">
      <c r="A50" t="s">
        <v>652</v>
      </c>
      <c r="B50" t="s">
        <v>744</v>
      </c>
      <c r="C50" s="12" t="s">
        <v>867</v>
      </c>
      <c r="D50" t="s">
        <v>1140</v>
      </c>
      <c r="E50">
        <f t="shared" si="0"/>
        <v>0</v>
      </c>
      <c r="F50">
        <f t="shared" si="1"/>
        <v>250</v>
      </c>
      <c r="T50" t="s">
        <v>999</v>
      </c>
      <c r="U50">
        <v>7.1999999999999995E-2</v>
      </c>
      <c r="V50">
        <v>7.1999999999999995E-2</v>
      </c>
    </row>
    <row r="51" spans="1:27" x14ac:dyDescent="0.25">
      <c r="A51" t="s">
        <v>652</v>
      </c>
      <c r="B51" t="s">
        <v>744</v>
      </c>
      <c r="C51" s="12" t="s">
        <v>867</v>
      </c>
      <c r="D51" t="s">
        <v>1140</v>
      </c>
      <c r="E51">
        <f t="shared" si="0"/>
        <v>0</v>
      </c>
      <c r="F51">
        <f t="shared" si="1"/>
        <v>250</v>
      </c>
      <c r="T51" t="s">
        <v>1000</v>
      </c>
      <c r="U51">
        <v>3.2000000000000001E-2</v>
      </c>
      <c r="V51">
        <v>3.2000000000000001E-2</v>
      </c>
    </row>
    <row r="52" spans="1:27" x14ac:dyDescent="0.25">
      <c r="A52" t="s">
        <v>652</v>
      </c>
      <c r="B52" t="s">
        <v>744</v>
      </c>
      <c r="C52" s="12" t="s">
        <v>867</v>
      </c>
      <c r="D52" t="s">
        <v>1140</v>
      </c>
      <c r="E52">
        <f t="shared" ref="E52:E95" si="3">--TRIM(MID(D52,2,FIND(",",D52)-2))</f>
        <v>0</v>
      </c>
      <c r="F52">
        <f t="shared" ref="F52:F95" si="4">--TRIM(MID(D52,FIND(",",D52)+1,LEN(D52)-FIND(",",D52)-1))</f>
        <v>250</v>
      </c>
      <c r="T52" t="s">
        <v>1001</v>
      </c>
      <c r="V52">
        <v>0.01</v>
      </c>
    </row>
    <row r="53" spans="1:27" x14ac:dyDescent="0.25">
      <c r="A53" t="s">
        <v>652</v>
      </c>
      <c r="B53" t="s">
        <v>744</v>
      </c>
      <c r="C53" s="12" t="s">
        <v>867</v>
      </c>
      <c r="D53" t="s">
        <v>1139</v>
      </c>
      <c r="E53">
        <f t="shared" si="3"/>
        <v>0</v>
      </c>
      <c r="F53">
        <f t="shared" si="4"/>
        <v>150</v>
      </c>
      <c r="T53" t="s">
        <v>1001</v>
      </c>
      <c r="V53">
        <v>0.01</v>
      </c>
    </row>
    <row r="54" spans="1:27" x14ac:dyDescent="0.25">
      <c r="A54" t="s">
        <v>652</v>
      </c>
      <c r="B54" t="s">
        <v>744</v>
      </c>
      <c r="C54" s="12" t="s">
        <v>867</v>
      </c>
      <c r="D54" t="s">
        <v>1140</v>
      </c>
      <c r="E54">
        <f t="shared" si="3"/>
        <v>0</v>
      </c>
      <c r="F54">
        <f t="shared" si="4"/>
        <v>250</v>
      </c>
      <c r="T54" t="s">
        <v>1002</v>
      </c>
      <c r="U54">
        <v>1.536</v>
      </c>
      <c r="V54">
        <v>1.536</v>
      </c>
    </row>
    <row r="55" spans="1:27" x14ac:dyDescent="0.25">
      <c r="A55" t="s">
        <v>652</v>
      </c>
      <c r="B55" t="s">
        <v>744</v>
      </c>
      <c r="C55" s="12" t="s">
        <v>867</v>
      </c>
      <c r="D55" t="s">
        <v>1140</v>
      </c>
      <c r="E55">
        <f t="shared" si="3"/>
        <v>0</v>
      </c>
      <c r="F55">
        <f t="shared" si="4"/>
        <v>250</v>
      </c>
      <c r="T55" t="s">
        <v>1001</v>
      </c>
      <c r="V55">
        <v>0.01</v>
      </c>
    </row>
    <row r="56" spans="1:27" x14ac:dyDescent="0.25">
      <c r="A56" t="s">
        <v>652</v>
      </c>
      <c r="B56" t="s">
        <v>744</v>
      </c>
      <c r="C56" s="12" t="s">
        <v>867</v>
      </c>
      <c r="D56" t="s">
        <v>1139</v>
      </c>
      <c r="E56">
        <f t="shared" si="3"/>
        <v>0</v>
      </c>
      <c r="F56">
        <f t="shared" si="4"/>
        <v>150</v>
      </c>
      <c r="T56" t="s">
        <v>1003</v>
      </c>
      <c r="U56">
        <v>0.48</v>
      </c>
      <c r="V56">
        <v>0.48</v>
      </c>
    </row>
    <row r="57" spans="1:27" x14ac:dyDescent="0.25">
      <c r="A57" t="s">
        <v>652</v>
      </c>
      <c r="B57" t="s">
        <v>744</v>
      </c>
      <c r="C57" s="12" t="s">
        <v>867</v>
      </c>
      <c r="D57" t="s">
        <v>1139</v>
      </c>
      <c r="E57">
        <f t="shared" si="3"/>
        <v>0</v>
      </c>
      <c r="F57">
        <f t="shared" si="4"/>
        <v>150</v>
      </c>
      <c r="T57" t="s">
        <v>1001</v>
      </c>
      <c r="V57">
        <v>0.01</v>
      </c>
    </row>
    <row r="58" spans="1:27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25">
      <c r="A59" t="s">
        <v>400</v>
      </c>
      <c r="B59" t="s">
        <v>744</v>
      </c>
      <c r="C59" s="12" t="s">
        <v>865</v>
      </c>
      <c r="D59" t="s">
        <v>931</v>
      </c>
      <c r="E59">
        <f t="shared" si="3"/>
        <v>1</v>
      </c>
      <c r="F59">
        <f t="shared" si="4"/>
        <v>1</v>
      </c>
      <c r="G59">
        <f>SMALL(E59:E62,COUNTIF(E59:E62,0)+1)</f>
        <v>1</v>
      </c>
      <c r="H59">
        <f>MAX(F59:F62)</f>
        <v>10</v>
      </c>
      <c r="I59">
        <f>_xlfn.PERCENTILE.INC(F59:F62,0.9)</f>
        <v>10</v>
      </c>
      <c r="J59" t="s">
        <v>565</v>
      </c>
      <c r="K59" t="s">
        <v>27</v>
      </c>
      <c r="L59">
        <v>99.999999900000006</v>
      </c>
      <c r="M59">
        <v>99.999999900000006</v>
      </c>
      <c r="N59">
        <v>99.999999900000006</v>
      </c>
      <c r="O59">
        <f>SMALL(M59:M62,COUNTIF(M59:M62,0)+1)</f>
        <v>99.998999999999995</v>
      </c>
      <c r="P59">
        <f>MAX(N59:N62)</f>
        <v>99.999999900000006</v>
      </c>
      <c r="Q59">
        <f>_xlfn.PERCENTILE.INC(N59:N62,0.9)</f>
        <v>99.999899910000011</v>
      </c>
      <c r="R59" t="s">
        <v>347</v>
      </c>
      <c r="S59">
        <v>99.999999900000006</v>
      </c>
      <c r="T59">
        <v>1600</v>
      </c>
      <c r="U59">
        <v>1600</v>
      </c>
      <c r="V59">
        <v>1600</v>
      </c>
      <c r="W59">
        <f>SMALL(U59:U62,COUNTIF(U59:U62,0)+1)</f>
        <v>1600</v>
      </c>
      <c r="X59">
        <f>MAX(V59:V62)</f>
        <v>1600</v>
      </c>
      <c r="Y59">
        <f>_xlfn.PERCENTILE.INC(V59:V62,0.9)</f>
        <v>1600</v>
      </c>
      <c r="Z59">
        <v>1600</v>
      </c>
      <c r="AA59" t="s">
        <v>27</v>
      </c>
    </row>
    <row r="60" spans="1:27" x14ac:dyDescent="0.25">
      <c r="A60" t="s">
        <v>542</v>
      </c>
      <c r="B60" t="s">
        <v>744</v>
      </c>
      <c r="C60" s="12" t="s">
        <v>865</v>
      </c>
      <c r="D60" t="s">
        <v>1138</v>
      </c>
      <c r="E60">
        <f t="shared" si="3"/>
        <v>0</v>
      </c>
      <c r="F60">
        <f t="shared" si="4"/>
        <v>1</v>
      </c>
      <c r="L60">
        <v>99.998999999999995</v>
      </c>
      <c r="M60">
        <v>99.998999999999995</v>
      </c>
      <c r="N60">
        <v>99.998999999999995</v>
      </c>
    </row>
    <row r="61" spans="1:27" x14ac:dyDescent="0.25">
      <c r="A61" t="s">
        <v>570</v>
      </c>
      <c r="B61" t="s">
        <v>744</v>
      </c>
      <c r="C61" s="12" t="s">
        <v>865</v>
      </c>
      <c r="D61" t="s">
        <v>923</v>
      </c>
      <c r="E61">
        <f t="shared" si="3"/>
        <v>10</v>
      </c>
      <c r="F61">
        <f t="shared" si="4"/>
        <v>10</v>
      </c>
    </row>
    <row r="62" spans="1:27" x14ac:dyDescent="0.25">
      <c r="A62" t="s">
        <v>112</v>
      </c>
      <c r="B62" t="s">
        <v>744</v>
      </c>
      <c r="C62" s="12" t="s">
        <v>865</v>
      </c>
      <c r="D62" t="s">
        <v>935</v>
      </c>
      <c r="E62">
        <f t="shared" si="3"/>
        <v>3</v>
      </c>
      <c r="F62">
        <f t="shared" si="4"/>
        <v>10</v>
      </c>
    </row>
    <row r="63" spans="1:27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25">
      <c r="A64" t="s">
        <v>400</v>
      </c>
      <c r="B64" t="s">
        <v>788</v>
      </c>
      <c r="C64" s="12" t="s">
        <v>875</v>
      </c>
      <c r="D64" t="s">
        <v>931</v>
      </c>
      <c r="E64">
        <f t="shared" si="3"/>
        <v>1</v>
      </c>
      <c r="F64">
        <f t="shared" si="4"/>
        <v>1</v>
      </c>
      <c r="G64">
        <f>MIN(E64:E67)</f>
        <v>1</v>
      </c>
      <c r="H64">
        <f>MAX(F64:F67)</f>
        <v>1</v>
      </c>
      <c r="I64">
        <v>1</v>
      </c>
      <c r="J64">
        <v>1</v>
      </c>
      <c r="K64" t="s">
        <v>27</v>
      </c>
      <c r="L64">
        <v>99.999899999999997</v>
      </c>
      <c r="M64">
        <v>99.999899999999997</v>
      </c>
      <c r="N64">
        <v>99.999899999999997</v>
      </c>
      <c r="O64">
        <f>MIN(M64:M67)</f>
        <v>99.999899999999997</v>
      </c>
      <c r="P64">
        <f>MAX(N64:N67)</f>
        <v>99.999899999999997</v>
      </c>
      <c r="Q64">
        <f>_xlfn.PERCENTILE.INC(N64:N66,0.9)</f>
        <v>99.999899999999997</v>
      </c>
      <c r="R64" t="s">
        <v>387</v>
      </c>
      <c r="S64" t="s">
        <v>27</v>
      </c>
      <c r="T64">
        <v>10000</v>
      </c>
      <c r="U64">
        <v>10000</v>
      </c>
      <c r="V64">
        <v>10000</v>
      </c>
      <c r="W64">
        <f>MIN(U64:U67)</f>
        <v>10000</v>
      </c>
      <c r="X64">
        <f>MAX(V64:V67)</f>
        <v>10000</v>
      </c>
      <c r="Y64">
        <f>_xlfn.PERCENTILE.INC(V64:V66,0.9)</f>
        <v>10000</v>
      </c>
      <c r="Z64">
        <v>10000</v>
      </c>
      <c r="AA64" t="s">
        <v>27</v>
      </c>
    </row>
    <row r="65" spans="1:27" x14ac:dyDescent="0.25">
      <c r="A65" t="s">
        <v>400</v>
      </c>
      <c r="B65" t="s">
        <v>788</v>
      </c>
      <c r="C65" s="12" t="s">
        <v>875</v>
      </c>
      <c r="D65" t="s">
        <v>931</v>
      </c>
      <c r="E65">
        <f t="shared" si="3"/>
        <v>1</v>
      </c>
      <c r="F65">
        <f t="shared" si="4"/>
        <v>1</v>
      </c>
      <c r="L65">
        <v>99.999899999999997</v>
      </c>
      <c r="M65">
        <v>99.999899999999997</v>
      </c>
      <c r="N65">
        <v>99.999899999999997</v>
      </c>
      <c r="T65">
        <v>10000</v>
      </c>
      <c r="U65">
        <v>10000</v>
      </c>
      <c r="V65">
        <v>10000</v>
      </c>
    </row>
    <row r="66" spans="1:27" x14ac:dyDescent="0.25">
      <c r="A66" t="s">
        <v>400</v>
      </c>
      <c r="B66" t="s">
        <v>788</v>
      </c>
      <c r="C66" s="12" t="s">
        <v>875</v>
      </c>
      <c r="D66" t="s">
        <v>931</v>
      </c>
      <c r="E66">
        <f t="shared" si="3"/>
        <v>1</v>
      </c>
      <c r="F66">
        <f t="shared" si="4"/>
        <v>1</v>
      </c>
      <c r="L66">
        <v>99.999899999999997</v>
      </c>
      <c r="M66">
        <v>99.999899999999997</v>
      </c>
      <c r="N66">
        <v>99.999899999999997</v>
      </c>
      <c r="T66">
        <v>10000</v>
      </c>
      <c r="U66">
        <v>10000</v>
      </c>
      <c r="V66">
        <v>10000</v>
      </c>
    </row>
    <row r="67" spans="1:27" x14ac:dyDescent="0.25">
      <c r="A67" t="s">
        <v>96</v>
      </c>
      <c r="B67" t="s">
        <v>788</v>
      </c>
      <c r="C67" s="12" t="s">
        <v>875</v>
      </c>
      <c r="D67" t="s">
        <v>931</v>
      </c>
      <c r="E67">
        <f t="shared" si="3"/>
        <v>1</v>
      </c>
      <c r="F67">
        <f t="shared" si="4"/>
        <v>1</v>
      </c>
    </row>
    <row r="68" spans="1:27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25">
      <c r="A69" t="s">
        <v>335</v>
      </c>
      <c r="B69" t="s">
        <v>788</v>
      </c>
      <c r="C69" s="12" t="s">
        <v>876</v>
      </c>
      <c r="D69" t="s">
        <v>940</v>
      </c>
      <c r="E69">
        <v>0.5</v>
      </c>
      <c r="F69">
        <f t="shared" ref="F69:F81" si="5">--TRIM(MID(D69,FIND(",",D69)+1,LEN(D69)-FIND(",",D69)-1))</f>
        <v>50</v>
      </c>
      <c r="G69">
        <f>MIN(E69:E84)</f>
        <v>0.1</v>
      </c>
      <c r="H69">
        <f>MAX(F69:F84)</f>
        <v>50</v>
      </c>
      <c r="I69">
        <f>_xlfn.PERCENTILE.INC(F69:F82,0.9)</f>
        <v>50</v>
      </c>
      <c r="J69" t="s">
        <v>1162</v>
      </c>
      <c r="K69" t="s">
        <v>241</v>
      </c>
      <c r="O69">
        <f>MIN(M69:M84)</f>
        <v>99</v>
      </c>
      <c r="P69">
        <f>MAX(N69:N84)</f>
        <v>99.999989999999997</v>
      </c>
      <c r="Q69">
        <f>_xlfn.PERCENTILE.INC(N70:N83,0.9)</f>
        <v>99.999989999999997</v>
      </c>
      <c r="R69" t="s">
        <v>1192</v>
      </c>
      <c r="S69" t="s">
        <v>27</v>
      </c>
      <c r="W69">
        <f>MIN(U69:U84)</f>
        <v>1</v>
      </c>
      <c r="X69">
        <f>MAX(V69:V84)</f>
        <v>1000</v>
      </c>
      <c r="Y69">
        <f>_xlfn.PERCENTILE.INC(V70:V83,0.9)</f>
        <v>909.99999999999989</v>
      </c>
      <c r="Z69" t="s">
        <v>1081</v>
      </c>
      <c r="AA69">
        <v>1000</v>
      </c>
    </row>
    <row r="70" spans="1:27" x14ac:dyDescent="0.25">
      <c r="A70" t="s">
        <v>638</v>
      </c>
      <c r="B70" t="s">
        <v>788</v>
      </c>
      <c r="C70" s="12" t="s">
        <v>876</v>
      </c>
      <c r="D70" t="s">
        <v>933</v>
      </c>
      <c r="E70">
        <f>--TRIM(MID(D70,2,FIND(",",D70)-2))</f>
        <v>50</v>
      </c>
      <c r="F70">
        <f t="shared" si="5"/>
        <v>50</v>
      </c>
      <c r="L70">
        <v>99.999899999999997</v>
      </c>
      <c r="M70">
        <v>99.999899999999997</v>
      </c>
      <c r="N70">
        <v>99.999899999999997</v>
      </c>
    </row>
    <row r="71" spans="1:27" x14ac:dyDescent="0.25">
      <c r="A71" t="s">
        <v>687</v>
      </c>
      <c r="B71" t="s">
        <v>788</v>
      </c>
      <c r="C71" s="12" t="s">
        <v>876</v>
      </c>
      <c r="D71" t="s">
        <v>933</v>
      </c>
      <c r="E71">
        <f>--TRIM(MID(D71,2,FIND(",",D71)-2))</f>
        <v>50</v>
      </c>
      <c r="F71">
        <f t="shared" si="5"/>
        <v>50</v>
      </c>
      <c r="L71">
        <v>99.999899999999997</v>
      </c>
      <c r="M71">
        <v>99.999899999999997</v>
      </c>
      <c r="N71">
        <v>99.999899999999997</v>
      </c>
    </row>
    <row r="72" spans="1:27" x14ac:dyDescent="0.25">
      <c r="A72" t="s">
        <v>96</v>
      </c>
      <c r="B72" t="s">
        <v>788</v>
      </c>
      <c r="C72" s="12" t="s">
        <v>876</v>
      </c>
      <c r="D72" t="s">
        <v>924</v>
      </c>
      <c r="E72">
        <f>--TRIM(MID(D72,2,FIND(",",D72)-2))</f>
        <v>7</v>
      </c>
      <c r="F72">
        <f t="shared" si="5"/>
        <v>20</v>
      </c>
    </row>
    <row r="73" spans="1:27" x14ac:dyDescent="0.25">
      <c r="A73" t="s">
        <v>143</v>
      </c>
      <c r="B73" t="s">
        <v>788</v>
      </c>
      <c r="C73" s="12" t="s">
        <v>876</v>
      </c>
      <c r="D73" t="s">
        <v>937</v>
      </c>
      <c r="E73">
        <f>--TRIM(MID(D73,2,FIND(",",D73)-2))</f>
        <v>1</v>
      </c>
      <c r="F73">
        <f t="shared" si="5"/>
        <v>10</v>
      </c>
      <c r="L73">
        <v>99.998999999999995</v>
      </c>
      <c r="M73">
        <v>99.998999999999995</v>
      </c>
      <c r="N73">
        <v>99.998999999999995</v>
      </c>
      <c r="T73" t="s">
        <v>1004</v>
      </c>
      <c r="U73">
        <v>1</v>
      </c>
      <c r="V73">
        <v>100</v>
      </c>
    </row>
    <row r="74" spans="1:27" x14ac:dyDescent="0.25">
      <c r="A74" t="s">
        <v>400</v>
      </c>
      <c r="B74" t="s">
        <v>788</v>
      </c>
      <c r="C74" s="12" t="s">
        <v>876</v>
      </c>
      <c r="D74" t="s">
        <v>932</v>
      </c>
      <c r="E74">
        <f>--TRIM(MID(D74,2,FIND(",",D74)-2))</f>
        <v>7</v>
      </c>
      <c r="F74">
        <f t="shared" si="5"/>
        <v>7</v>
      </c>
      <c r="L74">
        <v>99.998999999999995</v>
      </c>
      <c r="M74">
        <v>99.998999999999995</v>
      </c>
      <c r="N74">
        <v>99.998999999999995</v>
      </c>
      <c r="T74">
        <v>1000</v>
      </c>
      <c r="U74">
        <v>1000</v>
      </c>
      <c r="V74">
        <v>1000</v>
      </c>
    </row>
    <row r="75" spans="1:27" x14ac:dyDescent="0.25">
      <c r="A75" t="s">
        <v>335</v>
      </c>
      <c r="B75" t="s">
        <v>788</v>
      </c>
      <c r="C75" s="12" t="s">
        <v>876</v>
      </c>
      <c r="D75" t="s">
        <v>942</v>
      </c>
      <c r="E75">
        <v>0.5</v>
      </c>
      <c r="F75">
        <f t="shared" si="5"/>
        <v>5</v>
      </c>
    </row>
    <row r="76" spans="1:27" x14ac:dyDescent="0.25">
      <c r="A76" t="s">
        <v>335</v>
      </c>
      <c r="B76" t="s">
        <v>788</v>
      </c>
      <c r="C76" s="12" t="s">
        <v>876</v>
      </c>
      <c r="D76" t="s">
        <v>943</v>
      </c>
      <c r="E76">
        <f t="shared" ref="E76:E81" si="6">--TRIM(MID(D76,2,FIND(",",D76)-2))</f>
        <v>1</v>
      </c>
      <c r="F76">
        <f t="shared" si="5"/>
        <v>5</v>
      </c>
      <c r="L76" t="s">
        <v>1169</v>
      </c>
      <c r="M76">
        <v>99.998999999999995</v>
      </c>
    </row>
    <row r="77" spans="1:27" x14ac:dyDescent="0.25">
      <c r="A77" t="s">
        <v>335</v>
      </c>
      <c r="B77" t="s">
        <v>788</v>
      </c>
      <c r="C77" s="12" t="s">
        <v>876</v>
      </c>
      <c r="D77" t="s">
        <v>943</v>
      </c>
      <c r="E77">
        <f t="shared" si="6"/>
        <v>1</v>
      </c>
      <c r="F77">
        <f t="shared" si="5"/>
        <v>5</v>
      </c>
      <c r="L77">
        <v>99.9</v>
      </c>
      <c r="M77">
        <v>99.9</v>
      </c>
      <c r="N77">
        <v>99.9</v>
      </c>
    </row>
    <row r="78" spans="1:27" x14ac:dyDescent="0.25">
      <c r="A78" t="s">
        <v>335</v>
      </c>
      <c r="B78" t="s">
        <v>788</v>
      </c>
      <c r="C78" s="12" t="s">
        <v>876</v>
      </c>
      <c r="D78" t="s">
        <v>926</v>
      </c>
      <c r="E78">
        <f t="shared" si="6"/>
        <v>2</v>
      </c>
      <c r="F78">
        <f t="shared" si="5"/>
        <v>2</v>
      </c>
      <c r="L78" t="s">
        <v>1169</v>
      </c>
      <c r="M78">
        <v>99.998999999999995</v>
      </c>
    </row>
    <row r="79" spans="1:27" x14ac:dyDescent="0.25">
      <c r="A79" t="s">
        <v>335</v>
      </c>
      <c r="B79" t="s">
        <v>788</v>
      </c>
      <c r="C79" s="12" t="s">
        <v>876</v>
      </c>
      <c r="D79" t="s">
        <v>926</v>
      </c>
      <c r="E79">
        <f t="shared" si="6"/>
        <v>2</v>
      </c>
      <c r="F79">
        <f t="shared" si="5"/>
        <v>2</v>
      </c>
      <c r="L79">
        <v>99.9</v>
      </c>
      <c r="M79">
        <v>99.9</v>
      </c>
      <c r="N79">
        <v>99.9</v>
      </c>
    </row>
    <row r="80" spans="1:27" x14ac:dyDescent="0.25">
      <c r="A80" t="s">
        <v>335</v>
      </c>
      <c r="B80" t="s">
        <v>788</v>
      </c>
      <c r="C80" s="12" t="s">
        <v>876</v>
      </c>
      <c r="D80" t="s">
        <v>926</v>
      </c>
      <c r="E80">
        <f t="shared" si="6"/>
        <v>2</v>
      </c>
      <c r="F80">
        <f t="shared" si="5"/>
        <v>2</v>
      </c>
      <c r="L80">
        <v>99.999989999999997</v>
      </c>
      <c r="M80">
        <v>99.999989999999997</v>
      </c>
      <c r="N80">
        <v>99.999989999999997</v>
      </c>
    </row>
    <row r="81" spans="1:27" x14ac:dyDescent="0.25">
      <c r="A81" t="s">
        <v>335</v>
      </c>
      <c r="B81" t="s">
        <v>788</v>
      </c>
      <c r="C81" s="12" t="s">
        <v>876</v>
      </c>
      <c r="D81" t="s">
        <v>931</v>
      </c>
      <c r="E81">
        <f t="shared" si="6"/>
        <v>1</v>
      </c>
      <c r="F81">
        <f t="shared" si="5"/>
        <v>1</v>
      </c>
      <c r="L81">
        <v>99.998999999999995</v>
      </c>
      <c r="M81">
        <v>99.998999999999995</v>
      </c>
      <c r="N81">
        <v>99.998999999999995</v>
      </c>
    </row>
    <row r="82" spans="1:27" x14ac:dyDescent="0.25">
      <c r="A82" t="s">
        <v>233</v>
      </c>
      <c r="B82" t="s">
        <v>788</v>
      </c>
      <c r="C82" s="12" t="s">
        <v>876</v>
      </c>
      <c r="D82" t="s">
        <v>944</v>
      </c>
      <c r="E82">
        <v>0.1</v>
      </c>
      <c r="F82">
        <v>0.1</v>
      </c>
      <c r="L82" t="s">
        <v>979</v>
      </c>
      <c r="M82">
        <v>99</v>
      </c>
      <c r="T82" t="s">
        <v>979</v>
      </c>
      <c r="U82">
        <v>99</v>
      </c>
    </row>
    <row r="83" spans="1:27" x14ac:dyDescent="0.25">
      <c r="A83" t="s">
        <v>335</v>
      </c>
      <c r="B83" t="s">
        <v>788</v>
      </c>
      <c r="C83" s="12" t="s">
        <v>876</v>
      </c>
      <c r="D83" t="s">
        <v>941</v>
      </c>
      <c r="E83">
        <f>--TRIM(MID(D83,2,FIND(",",D83)-2))</f>
        <v>50</v>
      </c>
      <c r="L83" t="s">
        <v>1170</v>
      </c>
      <c r="M83">
        <v>99.9</v>
      </c>
      <c r="N83">
        <v>99.999989999999997</v>
      </c>
    </row>
    <row r="84" spans="1:27" x14ac:dyDescent="0.25">
      <c r="A84" t="s">
        <v>96</v>
      </c>
      <c r="B84" t="s">
        <v>788</v>
      </c>
      <c r="C84" s="12" t="s">
        <v>876</v>
      </c>
      <c r="D84" t="s">
        <v>945</v>
      </c>
      <c r="E84">
        <f>--TRIM(MID(D84,2,FIND(",",D84)-2))</f>
        <v>50</v>
      </c>
    </row>
    <row r="85" spans="1:27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25">
      <c r="A86" t="s">
        <v>233</v>
      </c>
      <c r="B86" t="s">
        <v>788</v>
      </c>
      <c r="C86" s="12" t="s">
        <v>873</v>
      </c>
      <c r="D86" t="s">
        <v>948</v>
      </c>
      <c r="E86">
        <v>0.1</v>
      </c>
      <c r="G86">
        <f>SMALL(E86:E95,COUNTIF(E86:E95,0)+1)</f>
        <v>2.0000000000000001E-4</v>
      </c>
      <c r="H86">
        <f>MAX(F89:F95)</f>
        <v>50</v>
      </c>
      <c r="I86">
        <f>_xlfn.PERCENTILE.INC(F89:F95,0.9)</f>
        <v>26.000000000000014</v>
      </c>
      <c r="J86" t="s">
        <v>1160</v>
      </c>
      <c r="K86" t="s">
        <v>1165</v>
      </c>
      <c r="L86" s="2" t="s">
        <v>979</v>
      </c>
      <c r="M86">
        <v>99</v>
      </c>
      <c r="N86" s="2"/>
      <c r="O86">
        <f>SMALL(M86:M95,COUNTIF(M86:M95,0)+1)</f>
        <v>98</v>
      </c>
      <c r="P86">
        <f>MAX(N89:N95)</f>
        <v>99.999999900000006</v>
      </c>
      <c r="Q86">
        <f>_xlfn.PERCENTILE.INC(N89:N95,0.9)</f>
        <v>99.999999900000006</v>
      </c>
      <c r="R86" t="s">
        <v>1193</v>
      </c>
      <c r="S86" t="s">
        <v>27</v>
      </c>
      <c r="T86" t="s">
        <v>1005</v>
      </c>
      <c r="U86">
        <v>0.2</v>
      </c>
      <c r="W86">
        <f>SMALL(U86:U95,COUNTIF(U86:U95,0)+1)</f>
        <v>0.2</v>
      </c>
      <c r="X86">
        <f>MAX(V89:V95)</f>
        <v>100</v>
      </c>
      <c r="Y86">
        <f>_xlfn.PERCENTILE.INC(V89:V95,0.9)</f>
        <v>81.999999999999986</v>
      </c>
      <c r="Z86" t="s">
        <v>1206</v>
      </c>
      <c r="AA86" t="s">
        <v>1035</v>
      </c>
    </row>
    <row r="87" spans="1:27" x14ac:dyDescent="0.25">
      <c r="A87" t="s">
        <v>233</v>
      </c>
      <c r="B87" t="s">
        <v>788</v>
      </c>
      <c r="C87" s="12" t="s">
        <v>873</v>
      </c>
      <c r="D87" t="s">
        <v>948</v>
      </c>
      <c r="E87">
        <v>0.1</v>
      </c>
      <c r="L87" s="2" t="s">
        <v>980</v>
      </c>
      <c r="M87">
        <v>98</v>
      </c>
      <c r="N87" s="2"/>
      <c r="T87" t="s">
        <v>1005</v>
      </c>
      <c r="U87">
        <v>0.2</v>
      </c>
    </row>
    <row r="88" spans="1:27" x14ac:dyDescent="0.25">
      <c r="A88" t="s">
        <v>233</v>
      </c>
      <c r="B88" t="s">
        <v>788</v>
      </c>
      <c r="C88" s="12" t="s">
        <v>873</v>
      </c>
      <c r="D88" t="s">
        <v>949</v>
      </c>
      <c r="E88">
        <f t="shared" si="3"/>
        <v>500</v>
      </c>
      <c r="L88" s="2" t="s">
        <v>980</v>
      </c>
      <c r="M88">
        <v>98</v>
      </c>
      <c r="N88" s="2"/>
      <c r="T88" t="s">
        <v>1005</v>
      </c>
      <c r="U88">
        <v>0.2</v>
      </c>
    </row>
    <row r="89" spans="1:27" x14ac:dyDescent="0.25">
      <c r="A89" t="s">
        <v>335</v>
      </c>
      <c r="B89" t="s">
        <v>788</v>
      </c>
      <c r="C89" s="12" t="s">
        <v>873</v>
      </c>
      <c r="D89" t="s">
        <v>951</v>
      </c>
      <c r="E89">
        <f t="shared" si="3"/>
        <v>10</v>
      </c>
      <c r="F89">
        <f t="shared" si="4"/>
        <v>50</v>
      </c>
      <c r="L89" t="s">
        <v>1170</v>
      </c>
      <c r="M89">
        <v>99.9</v>
      </c>
      <c r="N89">
        <v>99.999989999999997</v>
      </c>
    </row>
    <row r="90" spans="1:27" x14ac:dyDescent="0.25">
      <c r="A90" t="s">
        <v>577</v>
      </c>
      <c r="B90" t="s">
        <v>788</v>
      </c>
      <c r="C90" s="12" t="s">
        <v>873</v>
      </c>
      <c r="D90" t="s">
        <v>1142</v>
      </c>
      <c r="E90">
        <f t="shared" si="3"/>
        <v>0</v>
      </c>
      <c r="F90">
        <f t="shared" si="4"/>
        <v>2</v>
      </c>
      <c r="L90" t="s">
        <v>1171</v>
      </c>
      <c r="M90">
        <v>99.999899999999997</v>
      </c>
      <c r="T90" t="s">
        <v>371</v>
      </c>
      <c r="U90">
        <v>1</v>
      </c>
      <c r="V90">
        <v>5</v>
      </c>
    </row>
    <row r="91" spans="1:27" x14ac:dyDescent="0.25">
      <c r="A91" t="s">
        <v>56</v>
      </c>
      <c r="B91" t="s">
        <v>788</v>
      </c>
      <c r="C91" s="12" t="s">
        <v>873</v>
      </c>
      <c r="D91" t="s">
        <v>946</v>
      </c>
      <c r="E91">
        <v>0.1</v>
      </c>
      <c r="F91">
        <v>2.5</v>
      </c>
    </row>
    <row r="92" spans="1:27" x14ac:dyDescent="0.25">
      <c r="A92" t="s">
        <v>112</v>
      </c>
      <c r="B92" t="s">
        <v>788</v>
      </c>
      <c r="C92" s="12" t="s">
        <v>873</v>
      </c>
      <c r="D92" t="s">
        <v>950</v>
      </c>
      <c r="E92">
        <v>2.0000000000000001E-4</v>
      </c>
      <c r="F92">
        <v>5.0000000000000001E-4</v>
      </c>
    </row>
    <row r="93" spans="1:27" x14ac:dyDescent="0.25">
      <c r="A93" t="s">
        <v>112</v>
      </c>
      <c r="B93" t="s">
        <v>788</v>
      </c>
      <c r="C93" s="12" t="s">
        <v>873</v>
      </c>
      <c r="D93" t="s">
        <v>947</v>
      </c>
      <c r="E93">
        <v>2.5000000000000001E-2</v>
      </c>
      <c r="F93">
        <f t="shared" si="4"/>
        <v>2</v>
      </c>
    </row>
    <row r="94" spans="1:27" x14ac:dyDescent="0.25">
      <c r="A94" t="s">
        <v>143</v>
      </c>
      <c r="B94" t="s">
        <v>788</v>
      </c>
      <c r="C94" s="12" t="s">
        <v>873</v>
      </c>
      <c r="D94" t="s">
        <v>937</v>
      </c>
      <c r="E94">
        <f t="shared" si="3"/>
        <v>1</v>
      </c>
      <c r="F94">
        <f t="shared" si="4"/>
        <v>10</v>
      </c>
      <c r="L94">
        <v>99.999999900000006</v>
      </c>
      <c r="M94">
        <v>99.999999900000006</v>
      </c>
      <c r="N94">
        <v>99.999999900000006</v>
      </c>
      <c r="T94" t="s">
        <v>565</v>
      </c>
      <c r="U94">
        <v>1</v>
      </c>
      <c r="V94">
        <v>10</v>
      </c>
    </row>
    <row r="95" spans="1:27" x14ac:dyDescent="0.25">
      <c r="A95" t="s">
        <v>157</v>
      </c>
      <c r="B95" t="s">
        <v>788</v>
      </c>
      <c r="C95" s="12" t="s">
        <v>873</v>
      </c>
      <c r="D95" t="s">
        <v>929</v>
      </c>
      <c r="E95">
        <f t="shared" si="3"/>
        <v>5</v>
      </c>
      <c r="F95">
        <f t="shared" si="4"/>
        <v>5</v>
      </c>
      <c r="L95">
        <v>99.999999900000006</v>
      </c>
      <c r="M95">
        <v>99.999999900000006</v>
      </c>
      <c r="N95">
        <v>99.999999900000006</v>
      </c>
      <c r="T95" t="s">
        <v>916</v>
      </c>
      <c r="V95">
        <v>100</v>
      </c>
    </row>
    <row r="96" spans="1:2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25">
      <c r="A97" s="23" t="s">
        <v>21</v>
      </c>
      <c r="B97" s="23" t="s">
        <v>788</v>
      </c>
      <c r="C97" s="12" t="s">
        <v>874</v>
      </c>
      <c r="D97" s="23" t="s">
        <v>919</v>
      </c>
      <c r="E97">
        <f t="shared" ref="E97:E106" si="7">--TRIM(MID(D97,2,FIND(",",D97)-2))</f>
        <v>100</v>
      </c>
      <c r="F97">
        <f t="shared" ref="F97:F104" si="8">--TRIM(MID(D97,FIND(",",D97)+1,LEN(D97)-FIND(",",D97)-1))</f>
        <v>100</v>
      </c>
      <c r="G97">
        <f>SMALL(E97:E106,COUNTIF(E97:E106,0)+1)</f>
        <v>10</v>
      </c>
      <c r="H97">
        <f>MAX(F97:F104)</f>
        <v>100</v>
      </c>
      <c r="I97">
        <f>_xlfn.PERCENTILE.INC(F97:F104,0.9)</f>
        <v>100</v>
      </c>
      <c r="J97" t="s">
        <v>1035</v>
      </c>
      <c r="K97" t="s">
        <v>1164</v>
      </c>
      <c r="L97" s="23">
        <v>99.998999999999995</v>
      </c>
      <c r="M97" s="23">
        <v>99.998999999999995</v>
      </c>
      <c r="N97" s="23">
        <v>99.998999999999995</v>
      </c>
      <c r="O97">
        <f>SMALL(M97:M106,COUNTIF(M97:M106,0)+1)</f>
        <v>98</v>
      </c>
      <c r="P97">
        <f>MAX(N97:N104)</f>
        <v>99.999999900000006</v>
      </c>
      <c r="Q97">
        <f>_xlfn.PERCENTILE.INC(N97:N104,0.9)</f>
        <v>99.999939960000006</v>
      </c>
      <c r="R97" t="s">
        <v>1194</v>
      </c>
      <c r="S97" t="s">
        <v>407</v>
      </c>
      <c r="T97" s="23"/>
      <c r="U97" s="23"/>
      <c r="V97" s="23"/>
      <c r="W97">
        <f>SMALL(U97:U106,COUNTIF(U97:U106,0)+1)</f>
        <v>0.1</v>
      </c>
      <c r="X97">
        <f>MAX(V97:V105)</f>
        <v>1000</v>
      </c>
      <c r="Y97">
        <f>_xlfn.PERCENTILE.INC(V98:V105,0.9)</f>
        <v>550</v>
      </c>
      <c r="Z97" t="s">
        <v>1093</v>
      </c>
      <c r="AA97">
        <v>1000</v>
      </c>
    </row>
    <row r="98" spans="1:27" x14ac:dyDescent="0.25">
      <c r="A98" t="s">
        <v>400</v>
      </c>
      <c r="B98" t="s">
        <v>788</v>
      </c>
      <c r="C98" s="12" t="s">
        <v>874</v>
      </c>
      <c r="D98" s="23" t="s">
        <v>919</v>
      </c>
      <c r="E98">
        <f t="shared" si="7"/>
        <v>100</v>
      </c>
      <c r="F98">
        <f t="shared" si="8"/>
        <v>100</v>
      </c>
      <c r="L98">
        <v>99.998999999999995</v>
      </c>
      <c r="M98">
        <v>99.998999999999995</v>
      </c>
      <c r="N98">
        <v>99.998999999999995</v>
      </c>
      <c r="T98">
        <v>1000</v>
      </c>
      <c r="U98">
        <v>1000</v>
      </c>
      <c r="V98">
        <v>1000</v>
      </c>
    </row>
    <row r="99" spans="1:27" x14ac:dyDescent="0.25">
      <c r="A99" t="s">
        <v>577</v>
      </c>
      <c r="B99" t="s">
        <v>788</v>
      </c>
      <c r="C99" s="12" t="s">
        <v>874</v>
      </c>
      <c r="D99" t="s">
        <v>1144</v>
      </c>
      <c r="E99">
        <f t="shared" si="7"/>
        <v>0</v>
      </c>
      <c r="F99">
        <f t="shared" si="8"/>
        <v>100</v>
      </c>
      <c r="L99" t="s">
        <v>1172</v>
      </c>
      <c r="M99">
        <v>99.9</v>
      </c>
      <c r="T99" t="s">
        <v>1007</v>
      </c>
      <c r="U99">
        <v>0.1</v>
      </c>
      <c r="V99">
        <v>0.5</v>
      </c>
    </row>
    <row r="100" spans="1:27" x14ac:dyDescent="0.25">
      <c r="A100" t="s">
        <v>638</v>
      </c>
      <c r="B100" t="s">
        <v>788</v>
      </c>
      <c r="C100" s="12" t="s">
        <v>874</v>
      </c>
      <c r="D100" s="23" t="s">
        <v>919</v>
      </c>
      <c r="E100">
        <f t="shared" si="7"/>
        <v>100</v>
      </c>
      <c r="F100">
        <f t="shared" si="8"/>
        <v>100</v>
      </c>
      <c r="L100">
        <v>99.999899999999997</v>
      </c>
      <c r="M100">
        <v>99.999899999999997</v>
      </c>
      <c r="N100">
        <v>99.999899999999997</v>
      </c>
    </row>
    <row r="101" spans="1:27" x14ac:dyDescent="0.25">
      <c r="A101" t="s">
        <v>687</v>
      </c>
      <c r="B101" t="s">
        <v>788</v>
      </c>
      <c r="C101" s="12" t="s">
        <v>874</v>
      </c>
      <c r="D101" s="23" t="s">
        <v>919</v>
      </c>
      <c r="E101">
        <f t="shared" si="7"/>
        <v>100</v>
      </c>
      <c r="F101">
        <f t="shared" si="8"/>
        <v>100</v>
      </c>
      <c r="L101">
        <v>99.999899999999997</v>
      </c>
      <c r="M101">
        <v>99.999899999999997</v>
      </c>
      <c r="N101">
        <v>99.999899999999997</v>
      </c>
    </row>
    <row r="102" spans="1:27" x14ac:dyDescent="0.25">
      <c r="A102" t="s">
        <v>157</v>
      </c>
      <c r="B102" t="s">
        <v>788</v>
      </c>
      <c r="C102" s="12" t="s">
        <v>874</v>
      </c>
      <c r="D102" t="s">
        <v>952</v>
      </c>
      <c r="E102">
        <f t="shared" si="7"/>
        <v>10</v>
      </c>
      <c r="F102">
        <f t="shared" si="8"/>
        <v>100</v>
      </c>
      <c r="L102">
        <v>99.999999900000006</v>
      </c>
      <c r="M102">
        <v>99.999999900000006</v>
      </c>
      <c r="N102">
        <v>99.999999900000006</v>
      </c>
      <c r="T102" t="s">
        <v>916</v>
      </c>
      <c r="V102">
        <v>100</v>
      </c>
    </row>
    <row r="103" spans="1:27" x14ac:dyDescent="0.25">
      <c r="A103" t="s">
        <v>157</v>
      </c>
      <c r="B103" t="s">
        <v>788</v>
      </c>
      <c r="C103" s="12" t="s">
        <v>874</v>
      </c>
      <c r="D103" t="s">
        <v>933</v>
      </c>
      <c r="E103">
        <f t="shared" si="7"/>
        <v>50</v>
      </c>
      <c r="F103">
        <f t="shared" si="8"/>
        <v>50</v>
      </c>
      <c r="L103" t="s">
        <v>1168</v>
      </c>
      <c r="M103">
        <v>99.9</v>
      </c>
      <c r="N103">
        <v>99.998999999999995</v>
      </c>
      <c r="T103">
        <v>1</v>
      </c>
      <c r="U103">
        <v>1</v>
      </c>
      <c r="V103">
        <v>1</v>
      </c>
    </row>
    <row r="104" spans="1:27" x14ac:dyDescent="0.25">
      <c r="A104" t="s">
        <v>400</v>
      </c>
      <c r="B104" t="s">
        <v>788</v>
      </c>
      <c r="C104" s="12" t="s">
        <v>874</v>
      </c>
      <c r="D104" t="s">
        <v>923</v>
      </c>
      <c r="E104">
        <f t="shared" si="7"/>
        <v>10</v>
      </c>
      <c r="F104">
        <f t="shared" si="8"/>
        <v>10</v>
      </c>
      <c r="L104">
        <v>99.9</v>
      </c>
      <c r="M104">
        <v>99.9</v>
      </c>
      <c r="N104">
        <v>99.9</v>
      </c>
      <c r="T104" t="s">
        <v>371</v>
      </c>
      <c r="U104">
        <v>1</v>
      </c>
      <c r="V104">
        <v>5</v>
      </c>
    </row>
    <row r="105" spans="1:27" x14ac:dyDescent="0.25">
      <c r="A105" t="s">
        <v>233</v>
      </c>
      <c r="B105" t="s">
        <v>788</v>
      </c>
      <c r="C105" s="12" t="s">
        <v>874</v>
      </c>
      <c r="D105" t="s">
        <v>949</v>
      </c>
      <c r="E105">
        <f t="shared" si="7"/>
        <v>500</v>
      </c>
      <c r="L105" s="2" t="s">
        <v>980</v>
      </c>
      <c r="M105">
        <v>98</v>
      </c>
      <c r="T105" t="s">
        <v>1006</v>
      </c>
      <c r="U105">
        <v>0.2</v>
      </c>
      <c r="V105">
        <v>0.2</v>
      </c>
    </row>
    <row r="106" spans="1:27" x14ac:dyDescent="0.25">
      <c r="A106" t="s">
        <v>233</v>
      </c>
      <c r="B106" t="s">
        <v>788</v>
      </c>
      <c r="C106" s="12" t="s">
        <v>874</v>
      </c>
      <c r="D106" t="s">
        <v>953</v>
      </c>
      <c r="E106">
        <f t="shared" si="7"/>
        <v>999</v>
      </c>
      <c r="L106">
        <v>98</v>
      </c>
      <c r="M106">
        <v>98</v>
      </c>
      <c r="T106" t="s">
        <v>1005</v>
      </c>
      <c r="U106">
        <v>0.2</v>
      </c>
    </row>
    <row r="107" spans="1:27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5">
      <c r="A108" s="23" t="s">
        <v>21</v>
      </c>
      <c r="B108" s="23" t="s">
        <v>788</v>
      </c>
      <c r="C108" s="12" t="s">
        <v>872</v>
      </c>
      <c r="D108" s="23" t="s">
        <v>919</v>
      </c>
      <c r="E108">
        <f t="shared" ref="E108:E154" si="9">--TRIM(MID(D108,2,FIND(",",D108)-2))</f>
        <v>100</v>
      </c>
      <c r="F108">
        <f t="shared" ref="F108:F154" si="10">--TRIM(MID(D108,FIND(",",D108)+1,LEN(D108)-FIND(",",D108)-1))</f>
        <v>100</v>
      </c>
      <c r="G108">
        <f>MIN(E108:E129)</f>
        <v>0.5</v>
      </c>
      <c r="H108">
        <f>MAX(F108:F129)</f>
        <v>500</v>
      </c>
      <c r="I108">
        <f>_xlfn.PERCENTILE.INC(F108:F129,0.9)</f>
        <v>460.00000000000085</v>
      </c>
      <c r="J108" t="s">
        <v>1158</v>
      </c>
      <c r="K108" t="s">
        <v>1159</v>
      </c>
      <c r="L108" s="23">
        <v>99.998999999999995</v>
      </c>
      <c r="M108" s="23">
        <v>99.998999999999995</v>
      </c>
      <c r="N108" s="23">
        <v>99.998999999999995</v>
      </c>
      <c r="O108">
        <f>MIN(M108:M129)</f>
        <v>99.9</v>
      </c>
      <c r="P108">
        <f>MAX(N108:N129)</f>
        <v>99.999999900000006</v>
      </c>
      <c r="Q108">
        <f>_xlfn.PERCENTILE.INC(N108:N129,0.9)</f>
        <v>99.999999900000006</v>
      </c>
      <c r="R108" t="s">
        <v>1092</v>
      </c>
      <c r="S108" t="s">
        <v>27</v>
      </c>
      <c r="T108" s="23"/>
      <c r="W108">
        <f>MIN(U108:U129)</f>
        <v>0.1</v>
      </c>
      <c r="X108">
        <f>MAX(V108:V129)</f>
        <v>100</v>
      </c>
      <c r="Y108">
        <f>_xlfn.PERCENTILE.INC(V108:V129,0.9)</f>
        <v>100</v>
      </c>
      <c r="Z108" t="s">
        <v>1093</v>
      </c>
      <c r="AA108" t="s">
        <v>27</v>
      </c>
    </row>
    <row r="109" spans="1:27" x14ac:dyDescent="0.25">
      <c r="A109" t="s">
        <v>21</v>
      </c>
      <c r="B109" t="s">
        <v>788</v>
      </c>
      <c r="C109" s="12" t="s">
        <v>872</v>
      </c>
      <c r="D109" t="s">
        <v>931</v>
      </c>
      <c r="E109">
        <f t="shared" si="9"/>
        <v>1</v>
      </c>
      <c r="F109">
        <f t="shared" si="10"/>
        <v>1</v>
      </c>
      <c r="L109" s="23">
        <v>99.998999999999995</v>
      </c>
      <c r="M109" s="23">
        <v>99.998999999999995</v>
      </c>
      <c r="N109" s="23">
        <v>99.998999999999995</v>
      </c>
    </row>
    <row r="110" spans="1:27" x14ac:dyDescent="0.25">
      <c r="A110" t="s">
        <v>21</v>
      </c>
      <c r="B110" t="s">
        <v>788</v>
      </c>
      <c r="C110" s="12" t="s">
        <v>872</v>
      </c>
      <c r="D110" t="s">
        <v>954</v>
      </c>
      <c r="E110">
        <f t="shared" si="9"/>
        <v>4</v>
      </c>
      <c r="F110">
        <f t="shared" si="10"/>
        <v>4</v>
      </c>
      <c r="L110" s="23">
        <v>99.998999999999995</v>
      </c>
      <c r="M110" s="23">
        <v>99.998999999999995</v>
      </c>
      <c r="N110" s="23">
        <v>99.998999999999995</v>
      </c>
    </row>
    <row r="111" spans="1:27" x14ac:dyDescent="0.25">
      <c r="A111" t="s">
        <v>21</v>
      </c>
      <c r="B111" t="s">
        <v>788</v>
      </c>
      <c r="C111" s="12" t="s">
        <v>872</v>
      </c>
      <c r="D111" t="s">
        <v>923</v>
      </c>
      <c r="E111">
        <f t="shared" si="9"/>
        <v>10</v>
      </c>
      <c r="F111">
        <f t="shared" si="10"/>
        <v>10</v>
      </c>
      <c r="L111" s="23">
        <v>99.998999999999995</v>
      </c>
      <c r="M111" s="23">
        <v>99.998999999999995</v>
      </c>
      <c r="N111" s="23">
        <v>99.998999999999995</v>
      </c>
    </row>
    <row r="112" spans="1:27" x14ac:dyDescent="0.25">
      <c r="A112" t="s">
        <v>335</v>
      </c>
      <c r="B112" t="s">
        <v>788</v>
      </c>
      <c r="C112" s="12" t="s">
        <v>872</v>
      </c>
      <c r="D112" t="s">
        <v>926</v>
      </c>
      <c r="E112">
        <f t="shared" si="9"/>
        <v>2</v>
      </c>
      <c r="F112">
        <f t="shared" si="10"/>
        <v>2</v>
      </c>
      <c r="L112">
        <v>99.999899999999997</v>
      </c>
      <c r="M112">
        <v>99.999899999999997</v>
      </c>
      <c r="N112">
        <v>99.999899999999997</v>
      </c>
    </row>
    <row r="113" spans="1:22" x14ac:dyDescent="0.25">
      <c r="A113" t="s">
        <v>400</v>
      </c>
      <c r="B113" t="s">
        <v>788</v>
      </c>
      <c r="C113" s="12" t="s">
        <v>872</v>
      </c>
      <c r="D113" t="s">
        <v>931</v>
      </c>
      <c r="E113">
        <f t="shared" si="9"/>
        <v>1</v>
      </c>
      <c r="F113">
        <f t="shared" si="10"/>
        <v>1</v>
      </c>
      <c r="L113">
        <v>99.999999900000006</v>
      </c>
      <c r="M113">
        <v>99.999999900000006</v>
      </c>
      <c r="N113">
        <v>99.999999900000006</v>
      </c>
      <c r="T113" t="s">
        <v>997</v>
      </c>
      <c r="U113">
        <v>0.1</v>
      </c>
      <c r="V113">
        <v>0.1</v>
      </c>
    </row>
    <row r="114" spans="1:22" x14ac:dyDescent="0.25">
      <c r="A114" t="s">
        <v>542</v>
      </c>
      <c r="B114" t="s">
        <v>788</v>
      </c>
      <c r="C114" s="12" t="s">
        <v>872</v>
      </c>
      <c r="D114" t="s">
        <v>937</v>
      </c>
      <c r="E114">
        <f t="shared" si="9"/>
        <v>1</v>
      </c>
      <c r="F114">
        <f t="shared" si="10"/>
        <v>10</v>
      </c>
      <c r="L114">
        <v>99.998999999999995</v>
      </c>
      <c r="M114">
        <v>99.998999999999995</v>
      </c>
      <c r="N114">
        <v>99.998999999999995</v>
      </c>
      <c r="T114" t="s">
        <v>1090</v>
      </c>
      <c r="U114">
        <v>1</v>
      </c>
      <c r="V114">
        <v>50</v>
      </c>
    </row>
    <row r="115" spans="1:22" x14ac:dyDescent="0.25">
      <c r="A115" s="23" t="s">
        <v>613</v>
      </c>
      <c r="B115" s="23" t="s">
        <v>788</v>
      </c>
      <c r="C115" s="26" t="s">
        <v>872</v>
      </c>
      <c r="D115" t="s">
        <v>1066</v>
      </c>
      <c r="E115">
        <f t="shared" si="9"/>
        <v>1</v>
      </c>
      <c r="F115">
        <f t="shared" si="10"/>
        <v>100</v>
      </c>
      <c r="L115" s="23"/>
      <c r="T115" s="23" t="s">
        <v>1008</v>
      </c>
      <c r="U115" s="23">
        <v>1</v>
      </c>
      <c r="V115" s="23"/>
    </row>
    <row r="116" spans="1:22" x14ac:dyDescent="0.25">
      <c r="A116" t="s">
        <v>638</v>
      </c>
      <c r="B116" t="s">
        <v>788</v>
      </c>
      <c r="C116" s="12" t="s">
        <v>872</v>
      </c>
      <c r="D116" t="s">
        <v>955</v>
      </c>
      <c r="E116">
        <f t="shared" si="9"/>
        <v>500</v>
      </c>
      <c r="F116">
        <f t="shared" si="10"/>
        <v>500</v>
      </c>
      <c r="L116" t="s">
        <v>1173</v>
      </c>
      <c r="M116">
        <v>99.999899999999997</v>
      </c>
    </row>
    <row r="117" spans="1:22" x14ac:dyDescent="0.25">
      <c r="A117" t="s">
        <v>687</v>
      </c>
      <c r="B117" t="s">
        <v>788</v>
      </c>
      <c r="C117" s="12" t="s">
        <v>872</v>
      </c>
      <c r="D117" t="s">
        <v>955</v>
      </c>
      <c r="E117">
        <f t="shared" si="9"/>
        <v>500</v>
      </c>
      <c r="F117">
        <f t="shared" si="10"/>
        <v>500</v>
      </c>
      <c r="L117" t="s">
        <v>1174</v>
      </c>
      <c r="M117">
        <v>99.999899999999997</v>
      </c>
    </row>
    <row r="118" spans="1:22" x14ac:dyDescent="0.25">
      <c r="A118" t="s">
        <v>96</v>
      </c>
      <c r="B118" t="s">
        <v>788</v>
      </c>
      <c r="C118" s="12" t="s">
        <v>872</v>
      </c>
      <c r="D118" t="s">
        <v>958</v>
      </c>
      <c r="E118">
        <f t="shared" si="9"/>
        <v>50</v>
      </c>
      <c r="F118">
        <f t="shared" si="10"/>
        <v>500</v>
      </c>
    </row>
    <row r="119" spans="1:22" x14ac:dyDescent="0.25">
      <c r="A119" t="s">
        <v>157</v>
      </c>
      <c r="B119" t="s">
        <v>788</v>
      </c>
      <c r="C119" s="12" t="s">
        <v>872</v>
      </c>
      <c r="D119" t="s">
        <v>926</v>
      </c>
      <c r="E119">
        <f t="shared" si="9"/>
        <v>2</v>
      </c>
      <c r="F119">
        <f t="shared" si="10"/>
        <v>2</v>
      </c>
      <c r="L119">
        <v>99.999999900000006</v>
      </c>
      <c r="M119">
        <v>99.999999900000006</v>
      </c>
      <c r="N119">
        <v>99.999999900000006</v>
      </c>
      <c r="T119">
        <v>1</v>
      </c>
      <c r="U119">
        <v>1</v>
      </c>
      <c r="V119">
        <v>1</v>
      </c>
    </row>
    <row r="120" spans="1:22" x14ac:dyDescent="0.25">
      <c r="A120" t="s">
        <v>157</v>
      </c>
      <c r="B120" t="s">
        <v>788</v>
      </c>
      <c r="C120" s="12" t="s">
        <v>872</v>
      </c>
      <c r="D120" t="s">
        <v>931</v>
      </c>
      <c r="E120">
        <f t="shared" si="9"/>
        <v>1</v>
      </c>
      <c r="F120">
        <f t="shared" si="10"/>
        <v>1</v>
      </c>
      <c r="L120">
        <v>99.999999900000006</v>
      </c>
      <c r="M120">
        <v>99.999999900000006</v>
      </c>
      <c r="N120">
        <v>99.999999900000006</v>
      </c>
      <c r="T120" t="s">
        <v>916</v>
      </c>
      <c r="V120">
        <v>100</v>
      </c>
    </row>
    <row r="121" spans="1:22" x14ac:dyDescent="0.25">
      <c r="A121" t="s">
        <v>157</v>
      </c>
      <c r="B121" t="s">
        <v>788</v>
      </c>
      <c r="C121" s="12" t="s">
        <v>872</v>
      </c>
      <c r="D121" t="s">
        <v>927</v>
      </c>
      <c r="E121">
        <v>0.5</v>
      </c>
      <c r="F121">
        <v>0.5</v>
      </c>
      <c r="L121">
        <v>99.999999900000006</v>
      </c>
      <c r="M121">
        <v>99.999999900000006</v>
      </c>
      <c r="N121">
        <v>99.999999900000006</v>
      </c>
      <c r="T121" t="s">
        <v>916</v>
      </c>
      <c r="V121">
        <v>100</v>
      </c>
    </row>
    <row r="122" spans="1:22" x14ac:dyDescent="0.25">
      <c r="A122" t="s">
        <v>157</v>
      </c>
      <c r="B122" t="s">
        <v>788</v>
      </c>
      <c r="C122" s="12" t="s">
        <v>872</v>
      </c>
      <c r="D122" t="s">
        <v>933</v>
      </c>
      <c r="E122">
        <f t="shared" si="9"/>
        <v>50</v>
      </c>
      <c r="F122">
        <f t="shared" si="10"/>
        <v>50</v>
      </c>
      <c r="L122" t="s">
        <v>1168</v>
      </c>
      <c r="M122">
        <v>99.9</v>
      </c>
      <c r="N122">
        <v>99.998999999999995</v>
      </c>
      <c r="T122" t="s">
        <v>916</v>
      </c>
      <c r="V122">
        <v>100</v>
      </c>
    </row>
    <row r="123" spans="1:22" x14ac:dyDescent="0.25">
      <c r="A123" t="s">
        <v>157</v>
      </c>
      <c r="B123" t="s">
        <v>788</v>
      </c>
      <c r="C123" s="12" t="s">
        <v>872</v>
      </c>
      <c r="D123" t="s">
        <v>931</v>
      </c>
      <c r="E123">
        <f t="shared" si="9"/>
        <v>1</v>
      </c>
      <c r="F123">
        <f t="shared" si="10"/>
        <v>1</v>
      </c>
      <c r="L123">
        <v>99.999999900000006</v>
      </c>
      <c r="M123">
        <v>99.999999900000006</v>
      </c>
      <c r="N123">
        <v>99.999999900000006</v>
      </c>
      <c r="T123" t="s">
        <v>916</v>
      </c>
      <c r="V123">
        <v>100</v>
      </c>
    </row>
    <row r="124" spans="1:22" x14ac:dyDescent="0.25">
      <c r="A124" t="s">
        <v>157</v>
      </c>
      <c r="B124" t="s">
        <v>788</v>
      </c>
      <c r="C124" s="12" t="s">
        <v>872</v>
      </c>
      <c r="D124" t="s">
        <v>957</v>
      </c>
      <c r="E124">
        <f t="shared" si="9"/>
        <v>4</v>
      </c>
      <c r="F124">
        <f t="shared" si="10"/>
        <v>8</v>
      </c>
      <c r="L124">
        <v>99.999999900000006</v>
      </c>
      <c r="M124">
        <v>99.999999900000006</v>
      </c>
      <c r="N124">
        <v>99.999999900000006</v>
      </c>
      <c r="T124" t="s">
        <v>916</v>
      </c>
      <c r="V124">
        <v>100</v>
      </c>
    </row>
    <row r="125" spans="1:22" x14ac:dyDescent="0.25">
      <c r="A125" t="s">
        <v>157</v>
      </c>
      <c r="B125" t="s">
        <v>788</v>
      </c>
      <c r="C125" s="12" t="s">
        <v>872</v>
      </c>
      <c r="D125" t="s">
        <v>957</v>
      </c>
      <c r="E125">
        <f t="shared" si="9"/>
        <v>4</v>
      </c>
      <c r="F125">
        <f t="shared" si="10"/>
        <v>8</v>
      </c>
      <c r="L125">
        <v>99.999999900000006</v>
      </c>
      <c r="M125">
        <v>99.999999900000006</v>
      </c>
      <c r="N125">
        <v>99.999999900000006</v>
      </c>
      <c r="T125">
        <v>1</v>
      </c>
      <c r="U125">
        <v>1</v>
      </c>
      <c r="V125">
        <v>1</v>
      </c>
    </row>
    <row r="126" spans="1:22" x14ac:dyDescent="0.25">
      <c r="A126" t="s">
        <v>157</v>
      </c>
      <c r="B126" t="s">
        <v>788</v>
      </c>
      <c r="C126" s="12" t="s">
        <v>872</v>
      </c>
      <c r="D126" t="s">
        <v>956</v>
      </c>
      <c r="E126">
        <f t="shared" si="9"/>
        <v>12</v>
      </c>
      <c r="F126">
        <f t="shared" si="10"/>
        <v>12</v>
      </c>
      <c r="L126">
        <v>99.999999900000006</v>
      </c>
      <c r="M126">
        <v>99.999999900000006</v>
      </c>
      <c r="N126">
        <v>99.999999900000006</v>
      </c>
      <c r="T126" t="s">
        <v>916</v>
      </c>
      <c r="V126">
        <v>100</v>
      </c>
    </row>
    <row r="127" spans="1:22" x14ac:dyDescent="0.25">
      <c r="A127" t="s">
        <v>222</v>
      </c>
      <c r="B127" t="s">
        <v>788</v>
      </c>
      <c r="C127" s="12" t="s">
        <v>872</v>
      </c>
      <c r="D127" t="s">
        <v>927</v>
      </c>
      <c r="E127">
        <v>0.5</v>
      </c>
      <c r="F127">
        <v>0.5</v>
      </c>
    </row>
    <row r="128" spans="1:22" x14ac:dyDescent="0.25">
      <c r="A128" t="s">
        <v>222</v>
      </c>
      <c r="B128" t="s">
        <v>788</v>
      </c>
      <c r="C128" s="12" t="s">
        <v>872</v>
      </c>
      <c r="D128" t="s">
        <v>931</v>
      </c>
      <c r="E128">
        <f t="shared" si="9"/>
        <v>1</v>
      </c>
      <c r="F128">
        <f t="shared" si="10"/>
        <v>1</v>
      </c>
    </row>
    <row r="129" spans="1:27" x14ac:dyDescent="0.25">
      <c r="A129" t="s">
        <v>222</v>
      </c>
      <c r="B129" t="s">
        <v>788</v>
      </c>
      <c r="C129" s="12" t="s">
        <v>872</v>
      </c>
      <c r="D129" t="s">
        <v>926</v>
      </c>
      <c r="E129">
        <f t="shared" si="9"/>
        <v>2</v>
      </c>
      <c r="F129">
        <f t="shared" si="10"/>
        <v>2</v>
      </c>
    </row>
    <row r="130" spans="1:27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5">
      <c r="A131" t="s">
        <v>400</v>
      </c>
      <c r="B131" t="s">
        <v>789</v>
      </c>
      <c r="C131" s="12" t="s">
        <v>890</v>
      </c>
      <c r="D131" t="s">
        <v>962</v>
      </c>
      <c r="E131">
        <f t="shared" si="9"/>
        <v>200</v>
      </c>
      <c r="F131">
        <f t="shared" si="10"/>
        <v>200</v>
      </c>
      <c r="G131">
        <f>MIN(E131:E134)</f>
        <v>200</v>
      </c>
      <c r="H131">
        <f>MAX(F131:F134)</f>
        <v>5000</v>
      </c>
      <c r="I131">
        <f>_xlfn.PERCENTILE.INC(F131:F134,0.9)</f>
        <v>3650.0000000000009</v>
      </c>
      <c r="J131" t="s">
        <v>1156</v>
      </c>
      <c r="K131" t="s">
        <v>1157</v>
      </c>
      <c r="L131">
        <v>99.998999999999995</v>
      </c>
      <c r="M131">
        <v>99.998999999999995</v>
      </c>
      <c r="N131">
        <v>99.998999999999995</v>
      </c>
      <c r="O131">
        <f>MIN(M131:M134)</f>
        <v>99</v>
      </c>
      <c r="P131">
        <f>MAX(N131:N134)</f>
        <v>99.998999999999995</v>
      </c>
      <c r="Q131">
        <f>_xlfn.PERCENTILE.INC(N131:N134,0.9)</f>
        <v>99.998999999999995</v>
      </c>
      <c r="R131" t="s">
        <v>1069</v>
      </c>
      <c r="S131" t="s">
        <v>27</v>
      </c>
      <c r="T131">
        <v>100</v>
      </c>
      <c r="U131">
        <v>100</v>
      </c>
      <c r="V131">
        <v>100</v>
      </c>
      <c r="W131">
        <f>MIN(U131:U134)</f>
        <v>10</v>
      </c>
      <c r="X131">
        <f>MAX(V131:V134)</f>
        <v>1000</v>
      </c>
      <c r="Y131">
        <f>_xlfn.PERCENTILE.INC(V131:V134,0.9)</f>
        <v>730.00000000000011</v>
      </c>
      <c r="Z131" t="s">
        <v>1035</v>
      </c>
      <c r="AA131">
        <v>1000</v>
      </c>
    </row>
    <row r="132" spans="1:27" x14ac:dyDescent="0.25">
      <c r="A132" t="s">
        <v>400</v>
      </c>
      <c r="B132" t="s">
        <v>789</v>
      </c>
      <c r="C132" s="12" t="s">
        <v>890</v>
      </c>
      <c r="D132" t="s">
        <v>955</v>
      </c>
      <c r="E132">
        <f t="shared" si="9"/>
        <v>500</v>
      </c>
      <c r="F132">
        <f t="shared" si="10"/>
        <v>500</v>
      </c>
      <c r="L132">
        <v>99.998999999999995</v>
      </c>
      <c r="M132">
        <v>99.998999999999995</v>
      </c>
      <c r="N132">
        <v>99.998999999999995</v>
      </c>
      <c r="T132">
        <v>10</v>
      </c>
      <c r="U132">
        <v>10</v>
      </c>
      <c r="V132">
        <v>10</v>
      </c>
    </row>
    <row r="133" spans="1:27" x14ac:dyDescent="0.25">
      <c r="A133" t="s">
        <v>400</v>
      </c>
      <c r="B133" t="s">
        <v>789</v>
      </c>
      <c r="C133" s="12" t="s">
        <v>890</v>
      </c>
      <c r="D133" t="s">
        <v>963</v>
      </c>
      <c r="E133">
        <f t="shared" si="9"/>
        <v>300</v>
      </c>
      <c r="F133">
        <f t="shared" si="10"/>
        <v>300</v>
      </c>
      <c r="L133">
        <v>99.998999999999995</v>
      </c>
      <c r="M133">
        <v>99.998999999999995</v>
      </c>
      <c r="N133">
        <v>99.998999999999995</v>
      </c>
      <c r="T133">
        <v>1000</v>
      </c>
      <c r="U133">
        <v>1000</v>
      </c>
      <c r="V133">
        <v>1000</v>
      </c>
    </row>
    <row r="134" spans="1:27" x14ac:dyDescent="0.25">
      <c r="A134" t="s">
        <v>157</v>
      </c>
      <c r="B134" t="s">
        <v>789</v>
      </c>
      <c r="C134" s="12" t="s">
        <v>890</v>
      </c>
      <c r="D134" t="s">
        <v>961</v>
      </c>
      <c r="E134">
        <f t="shared" si="9"/>
        <v>200</v>
      </c>
      <c r="F134">
        <f t="shared" si="10"/>
        <v>5000</v>
      </c>
      <c r="L134">
        <v>99</v>
      </c>
      <c r="M134">
        <v>99</v>
      </c>
      <c r="N134">
        <v>99</v>
      </c>
      <c r="T134">
        <v>15</v>
      </c>
      <c r="U134">
        <v>15</v>
      </c>
      <c r="V134">
        <v>15</v>
      </c>
    </row>
    <row r="135" spans="1:27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5">
      <c r="A136" t="s">
        <v>400</v>
      </c>
      <c r="B136" t="s">
        <v>789</v>
      </c>
      <c r="C136" s="12" t="s">
        <v>891</v>
      </c>
      <c r="D136" t="s">
        <v>919</v>
      </c>
      <c r="E136">
        <f t="shared" ref="E136:E142" si="11">--TRIM(MID(D136,2,FIND(",",D136)-2))</f>
        <v>100</v>
      </c>
      <c r="F136">
        <f t="shared" ref="F136:F142" si="12">--TRIM(MID(D136,FIND(",",D136)+1,LEN(D136)-FIND(",",D136)-1))</f>
        <v>100</v>
      </c>
      <c r="G136">
        <f>MIN(E136:E142)</f>
        <v>1</v>
      </c>
      <c r="H136">
        <f>MAX(F136:F142)</f>
        <v>100</v>
      </c>
      <c r="I136">
        <f>_xlfn.PERCENTILE.INC(F136:F142,0.9)</f>
        <v>46.000000000000028</v>
      </c>
      <c r="J136" t="s">
        <v>565</v>
      </c>
      <c r="K136">
        <v>100</v>
      </c>
      <c r="L136">
        <v>99</v>
      </c>
      <c r="M136">
        <v>99</v>
      </c>
      <c r="N136">
        <v>99</v>
      </c>
      <c r="O136">
        <f>MIN(M136:M143)</f>
        <v>99</v>
      </c>
      <c r="P136">
        <f>MAX(N136:N143)</f>
        <v>99.999899999999997</v>
      </c>
      <c r="Q136">
        <f>_xlfn.PERCENTILE.INC(N136:N143,0.9)</f>
        <v>99.999269999999996</v>
      </c>
      <c r="R136" t="s">
        <v>1069</v>
      </c>
      <c r="S136" t="s">
        <v>387</v>
      </c>
      <c r="T136">
        <v>1</v>
      </c>
      <c r="U136">
        <v>1</v>
      </c>
      <c r="V136">
        <v>1</v>
      </c>
      <c r="W136">
        <f>MIN(U136:U143)</f>
        <v>1</v>
      </c>
      <c r="X136">
        <f>MAX(V136:V143)</f>
        <v>10000</v>
      </c>
      <c r="Y136">
        <f>_xlfn.PERCENTILE.INC(V136:V143,0.9)</f>
        <v>4060.0000000000036</v>
      </c>
      <c r="Z136" t="s">
        <v>1081</v>
      </c>
      <c r="AA136" t="s">
        <v>1207</v>
      </c>
    </row>
    <row r="137" spans="1:27" x14ac:dyDescent="0.25">
      <c r="A137" t="s">
        <v>400</v>
      </c>
      <c r="B137" t="s">
        <v>789</v>
      </c>
      <c r="C137" s="12" t="s">
        <v>891</v>
      </c>
      <c r="D137" t="s">
        <v>923</v>
      </c>
      <c r="E137">
        <f t="shared" si="11"/>
        <v>10</v>
      </c>
      <c r="F137">
        <f t="shared" si="12"/>
        <v>10</v>
      </c>
      <c r="L137">
        <v>99.998999999999995</v>
      </c>
      <c r="M137">
        <v>99.998999999999995</v>
      </c>
      <c r="N137">
        <v>99.998999999999995</v>
      </c>
      <c r="T137" t="s">
        <v>994</v>
      </c>
      <c r="U137">
        <v>1000</v>
      </c>
      <c r="V137">
        <v>10000</v>
      </c>
    </row>
    <row r="138" spans="1:27" x14ac:dyDescent="0.25">
      <c r="A138" t="s">
        <v>400</v>
      </c>
      <c r="B138" t="s">
        <v>789</v>
      </c>
      <c r="C138" s="12" t="s">
        <v>891</v>
      </c>
      <c r="D138" t="s">
        <v>923</v>
      </c>
      <c r="E138">
        <f t="shared" si="11"/>
        <v>10</v>
      </c>
      <c r="F138">
        <f t="shared" si="12"/>
        <v>10</v>
      </c>
      <c r="L138">
        <v>99.998999999999995</v>
      </c>
      <c r="M138">
        <v>99.998999999999995</v>
      </c>
      <c r="N138">
        <v>99.998999999999995</v>
      </c>
      <c r="T138">
        <v>10</v>
      </c>
      <c r="U138">
        <v>10</v>
      </c>
      <c r="V138">
        <v>10</v>
      </c>
    </row>
    <row r="139" spans="1:27" x14ac:dyDescent="0.25">
      <c r="A139" t="s">
        <v>400</v>
      </c>
      <c r="B139" t="s">
        <v>789</v>
      </c>
      <c r="C139" s="12" t="s">
        <v>891</v>
      </c>
      <c r="D139" t="s">
        <v>923</v>
      </c>
      <c r="E139">
        <f t="shared" si="11"/>
        <v>10</v>
      </c>
      <c r="F139">
        <f t="shared" si="12"/>
        <v>10</v>
      </c>
      <c r="L139">
        <v>99.998999999999995</v>
      </c>
      <c r="M139">
        <v>99.998999999999995</v>
      </c>
      <c r="N139">
        <v>99.998999999999995</v>
      </c>
      <c r="T139">
        <v>100</v>
      </c>
      <c r="U139">
        <v>100</v>
      </c>
      <c r="V139">
        <v>100</v>
      </c>
    </row>
    <row r="140" spans="1:27" x14ac:dyDescent="0.25">
      <c r="A140" t="s">
        <v>400</v>
      </c>
      <c r="B140" t="s">
        <v>789</v>
      </c>
      <c r="C140" s="12" t="s">
        <v>891</v>
      </c>
      <c r="D140" t="s">
        <v>929</v>
      </c>
      <c r="E140">
        <f t="shared" si="11"/>
        <v>5</v>
      </c>
      <c r="F140">
        <f t="shared" si="12"/>
        <v>5</v>
      </c>
      <c r="L140">
        <v>99.999899999999997</v>
      </c>
      <c r="M140">
        <v>99.999899999999997</v>
      </c>
      <c r="N140">
        <v>99.999899999999997</v>
      </c>
      <c r="T140">
        <v>4</v>
      </c>
      <c r="U140">
        <v>4</v>
      </c>
      <c r="V140">
        <v>4</v>
      </c>
    </row>
    <row r="141" spans="1:27" x14ac:dyDescent="0.25">
      <c r="A141" t="s">
        <v>400</v>
      </c>
      <c r="B141" t="s">
        <v>789</v>
      </c>
      <c r="C141" s="12" t="s">
        <v>891</v>
      </c>
      <c r="D141" t="s">
        <v>926</v>
      </c>
      <c r="E141">
        <f t="shared" si="11"/>
        <v>2</v>
      </c>
      <c r="F141">
        <f t="shared" si="12"/>
        <v>2</v>
      </c>
      <c r="L141">
        <v>99.9</v>
      </c>
      <c r="M141">
        <v>99.9</v>
      </c>
      <c r="N141">
        <v>99.9</v>
      </c>
      <c r="T141">
        <v>100</v>
      </c>
      <c r="U141">
        <v>100</v>
      </c>
      <c r="V141">
        <v>100</v>
      </c>
    </row>
    <row r="142" spans="1:27" x14ac:dyDescent="0.25">
      <c r="A142" t="s">
        <v>335</v>
      </c>
      <c r="B142" t="s">
        <v>789</v>
      </c>
      <c r="C142" s="12" t="s">
        <v>891</v>
      </c>
      <c r="D142" t="s">
        <v>931</v>
      </c>
      <c r="E142">
        <f t="shared" si="11"/>
        <v>1</v>
      </c>
      <c r="F142">
        <f t="shared" si="12"/>
        <v>1</v>
      </c>
      <c r="L142">
        <v>99.998999999999995</v>
      </c>
      <c r="M142">
        <v>99.998999999999995</v>
      </c>
      <c r="N142">
        <v>99.998999999999995</v>
      </c>
    </row>
    <row r="143" spans="1:27" x14ac:dyDescent="0.25">
      <c r="A143" t="s">
        <v>400</v>
      </c>
      <c r="B143" t="s">
        <v>789</v>
      </c>
      <c r="C143" s="12" t="s">
        <v>891</v>
      </c>
      <c r="L143">
        <v>99.9</v>
      </c>
      <c r="M143">
        <v>99.9</v>
      </c>
      <c r="N143">
        <v>99.9</v>
      </c>
      <c r="T143">
        <v>100</v>
      </c>
      <c r="U143">
        <v>100</v>
      </c>
      <c r="V143">
        <v>100</v>
      </c>
    </row>
    <row r="144" spans="1:27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5">
      <c r="A145" t="s">
        <v>278</v>
      </c>
      <c r="B145" t="s">
        <v>789</v>
      </c>
      <c r="C145" s="12" t="s">
        <v>893</v>
      </c>
      <c r="D145" t="s">
        <v>965</v>
      </c>
      <c r="E145">
        <f t="shared" si="9"/>
        <v>16</v>
      </c>
      <c r="F145">
        <f t="shared" si="10"/>
        <v>16</v>
      </c>
      <c r="G145">
        <f>SMALL(E145:E156,COUNTIF(E145:E156,0)+1)</f>
        <v>1</v>
      </c>
      <c r="H145">
        <f>MAX(F145:F156)</f>
        <v>3600000</v>
      </c>
      <c r="I145">
        <f>_xlfn.PERCENTILE.INC(F145:F156,0.9)</f>
        <v>4600.0000000000018</v>
      </c>
      <c r="J145" t="s">
        <v>1154</v>
      </c>
      <c r="K145" t="s">
        <v>1155</v>
      </c>
      <c r="L145">
        <v>99.998999999999995</v>
      </c>
      <c r="M145">
        <v>99.998999999999995</v>
      </c>
      <c r="N145">
        <v>99.998999999999995</v>
      </c>
      <c r="O145">
        <f>SMALL(M145:M156,COUNTIF(M145:M156,0)+1)</f>
        <v>99</v>
      </c>
      <c r="P145">
        <f>MAX(N145:N156)</f>
        <v>99.999899999999997</v>
      </c>
      <c r="Q145">
        <f>_xlfn.PERCENTILE.INC(N145:N156,0.9)</f>
        <v>99.998999999999995</v>
      </c>
      <c r="R145" t="s">
        <v>1069</v>
      </c>
      <c r="S145" t="s">
        <v>387</v>
      </c>
      <c r="T145" t="s">
        <v>1009</v>
      </c>
      <c r="U145">
        <v>1.6E-2</v>
      </c>
      <c r="V145">
        <v>1.6E-2</v>
      </c>
      <c r="W145">
        <f>SMALL(U145:U156,COUNTIF(U145:U156,0)+1)</f>
        <v>2.05E-4</v>
      </c>
      <c r="X145">
        <f>MAX(V145:V156)</f>
        <v>10</v>
      </c>
      <c r="Y145">
        <f>_xlfn.PERCENTILE.INC(V145:V156,0.9)</f>
        <v>10</v>
      </c>
      <c r="Z145" t="s">
        <v>1079</v>
      </c>
      <c r="AA145" t="s">
        <v>27</v>
      </c>
    </row>
    <row r="146" spans="1:27" x14ac:dyDescent="0.25">
      <c r="A146" t="s">
        <v>278</v>
      </c>
      <c r="B146" t="s">
        <v>789</v>
      </c>
      <c r="C146" s="12" t="s">
        <v>893</v>
      </c>
      <c r="D146" t="s">
        <v>966</v>
      </c>
      <c r="E146">
        <f t="shared" si="9"/>
        <v>3600000</v>
      </c>
      <c r="F146">
        <f t="shared" si="10"/>
        <v>3600000</v>
      </c>
      <c r="L146">
        <v>99</v>
      </c>
      <c r="M146">
        <v>99</v>
      </c>
      <c r="N146">
        <v>99</v>
      </c>
      <c r="T146" t="s">
        <v>1010</v>
      </c>
      <c r="U146">
        <v>1.6000000000000001E-3</v>
      </c>
      <c r="V146">
        <v>1.6000000000000001E-3</v>
      </c>
    </row>
    <row r="147" spans="1:27" x14ac:dyDescent="0.25">
      <c r="A147" t="s">
        <v>278</v>
      </c>
      <c r="B147" t="s">
        <v>789</v>
      </c>
      <c r="C147" s="12" t="s">
        <v>893</v>
      </c>
      <c r="D147" t="s">
        <v>931</v>
      </c>
      <c r="E147">
        <f t="shared" si="9"/>
        <v>1</v>
      </c>
      <c r="F147">
        <f t="shared" si="10"/>
        <v>1</v>
      </c>
      <c r="L147">
        <v>99</v>
      </c>
      <c r="M147">
        <v>99</v>
      </c>
      <c r="N147">
        <v>99</v>
      </c>
      <c r="T147" t="s">
        <v>1011</v>
      </c>
      <c r="U147">
        <v>0.25</v>
      </c>
      <c r="V147">
        <v>1.5</v>
      </c>
    </row>
    <row r="148" spans="1:27" x14ac:dyDescent="0.25">
      <c r="A148" t="s">
        <v>278</v>
      </c>
      <c r="B148" t="s">
        <v>789</v>
      </c>
      <c r="C148" s="12" t="s">
        <v>893</v>
      </c>
      <c r="D148" t="s">
        <v>965</v>
      </c>
      <c r="E148">
        <f t="shared" si="9"/>
        <v>16</v>
      </c>
      <c r="F148">
        <f t="shared" si="10"/>
        <v>16</v>
      </c>
      <c r="L148">
        <v>99.998999999999995</v>
      </c>
      <c r="M148">
        <v>99.998999999999995</v>
      </c>
      <c r="N148">
        <v>99.998999999999995</v>
      </c>
      <c r="T148" t="s">
        <v>1012</v>
      </c>
      <c r="U148">
        <v>1.804</v>
      </c>
      <c r="V148">
        <v>1.804</v>
      </c>
    </row>
    <row r="149" spans="1:27" x14ac:dyDescent="0.25">
      <c r="A149" t="s">
        <v>278</v>
      </c>
      <c r="B149" t="s">
        <v>789</v>
      </c>
      <c r="C149" s="12" t="s">
        <v>893</v>
      </c>
      <c r="D149" t="s">
        <v>965</v>
      </c>
      <c r="E149">
        <f t="shared" si="9"/>
        <v>16</v>
      </c>
      <c r="F149">
        <f t="shared" si="10"/>
        <v>16</v>
      </c>
      <c r="L149">
        <v>99.998999999999995</v>
      </c>
      <c r="M149">
        <v>99.998999999999995</v>
      </c>
      <c r="N149">
        <v>99.998999999999995</v>
      </c>
      <c r="T149" t="s">
        <v>1013</v>
      </c>
      <c r="U149">
        <v>4.6000000000000001E-4</v>
      </c>
      <c r="V149">
        <v>4.6000000000000001E-4</v>
      </c>
    </row>
    <row r="150" spans="1:27" x14ac:dyDescent="0.25">
      <c r="A150" t="s">
        <v>278</v>
      </c>
      <c r="B150" t="s">
        <v>789</v>
      </c>
      <c r="C150" s="12" t="s">
        <v>893</v>
      </c>
      <c r="D150" t="s">
        <v>968</v>
      </c>
      <c r="E150">
        <f t="shared" si="9"/>
        <v>1000</v>
      </c>
      <c r="F150">
        <f t="shared" si="10"/>
        <v>1000</v>
      </c>
      <c r="L150">
        <v>99.998999999999995</v>
      </c>
      <c r="M150">
        <v>99.998999999999995</v>
      </c>
      <c r="N150">
        <v>99.998999999999995</v>
      </c>
      <c r="T150" t="s">
        <v>1014</v>
      </c>
      <c r="U150">
        <v>2.05E-4</v>
      </c>
      <c r="V150">
        <v>2.05E-4</v>
      </c>
    </row>
    <row r="151" spans="1:27" x14ac:dyDescent="0.25">
      <c r="A151" t="s">
        <v>278</v>
      </c>
      <c r="B151" t="s">
        <v>789</v>
      </c>
      <c r="C151" s="12" t="s">
        <v>893</v>
      </c>
      <c r="D151" t="s">
        <v>954</v>
      </c>
      <c r="E151">
        <f t="shared" si="9"/>
        <v>4</v>
      </c>
      <c r="F151">
        <f t="shared" si="10"/>
        <v>4</v>
      </c>
      <c r="L151">
        <v>99.998999999999995</v>
      </c>
      <c r="M151">
        <v>99.998999999999995</v>
      </c>
      <c r="N151">
        <v>99.998999999999995</v>
      </c>
      <c r="T151" t="s">
        <v>1015</v>
      </c>
      <c r="U151">
        <v>0.61499999999999999</v>
      </c>
      <c r="V151">
        <v>0.61499999999999999</v>
      </c>
    </row>
    <row r="152" spans="1:27" x14ac:dyDescent="0.25">
      <c r="A152" t="s">
        <v>278</v>
      </c>
      <c r="B152" t="s">
        <v>789</v>
      </c>
      <c r="C152" s="12" t="s">
        <v>893</v>
      </c>
      <c r="D152" t="s">
        <v>965</v>
      </c>
      <c r="E152">
        <f t="shared" si="9"/>
        <v>16</v>
      </c>
      <c r="F152">
        <f t="shared" si="10"/>
        <v>16</v>
      </c>
      <c r="L152">
        <v>99.998999999999995</v>
      </c>
      <c r="M152">
        <v>99.998999999999995</v>
      </c>
      <c r="N152">
        <v>99.998999999999995</v>
      </c>
      <c r="T152" t="s">
        <v>1016</v>
      </c>
      <c r="U152">
        <v>0.02</v>
      </c>
      <c r="V152">
        <v>0.02</v>
      </c>
    </row>
    <row r="153" spans="1:27" x14ac:dyDescent="0.25">
      <c r="A153" t="s">
        <v>335</v>
      </c>
      <c r="B153" t="s">
        <v>789</v>
      </c>
      <c r="C153" s="12" t="s">
        <v>893</v>
      </c>
      <c r="D153" t="s">
        <v>1145</v>
      </c>
      <c r="E153">
        <f t="shared" si="9"/>
        <v>0</v>
      </c>
      <c r="F153">
        <f t="shared" si="10"/>
        <v>5000</v>
      </c>
      <c r="L153">
        <v>99</v>
      </c>
      <c r="M153">
        <v>99</v>
      </c>
      <c r="N153">
        <v>99</v>
      </c>
    </row>
    <row r="154" spans="1:27" x14ac:dyDescent="0.25">
      <c r="A154" t="s">
        <v>400</v>
      </c>
      <c r="B154" t="s">
        <v>789</v>
      </c>
      <c r="C154" s="12" t="s">
        <v>893</v>
      </c>
      <c r="D154" t="s">
        <v>923</v>
      </c>
      <c r="E154">
        <f t="shared" si="9"/>
        <v>10</v>
      </c>
      <c r="F154">
        <f t="shared" si="10"/>
        <v>10</v>
      </c>
      <c r="L154">
        <v>99.998999999999995</v>
      </c>
      <c r="M154">
        <v>99.998999999999995</v>
      </c>
      <c r="N154">
        <v>99.998999999999995</v>
      </c>
      <c r="T154">
        <v>10</v>
      </c>
      <c r="U154">
        <v>10</v>
      </c>
      <c r="V154">
        <v>10</v>
      </c>
    </row>
    <row r="155" spans="1:27" x14ac:dyDescent="0.25">
      <c r="A155" t="s">
        <v>157</v>
      </c>
      <c r="B155" t="s">
        <v>789</v>
      </c>
      <c r="C155" s="12" t="s">
        <v>893</v>
      </c>
      <c r="D155" t="s">
        <v>967</v>
      </c>
      <c r="E155">
        <f t="shared" ref="E155:E198" si="13">--TRIM(MID(D155,2,FIND(",",D155)-2))</f>
        <v>25</v>
      </c>
      <c r="F155">
        <f t="shared" ref="F155:F198" si="14">--TRIM(MID(D155,FIND(",",D155)+1,LEN(D155)-FIND(",",D155)-1))</f>
        <v>25</v>
      </c>
      <c r="L155">
        <v>99.9</v>
      </c>
      <c r="M155">
        <v>99.9</v>
      </c>
      <c r="N155">
        <v>99.9</v>
      </c>
      <c r="T155">
        <v>10</v>
      </c>
      <c r="U155">
        <v>10</v>
      </c>
      <c r="V155">
        <v>10</v>
      </c>
    </row>
    <row r="156" spans="1:27" x14ac:dyDescent="0.25">
      <c r="A156" t="s">
        <v>157</v>
      </c>
      <c r="B156" t="s">
        <v>789</v>
      </c>
      <c r="C156" s="12" t="s">
        <v>893</v>
      </c>
      <c r="D156" t="s">
        <v>929</v>
      </c>
      <c r="E156">
        <f t="shared" si="13"/>
        <v>5</v>
      </c>
      <c r="F156">
        <f t="shared" si="14"/>
        <v>5</v>
      </c>
      <c r="L156">
        <v>99.999899999999997</v>
      </c>
      <c r="M156">
        <v>99.999899999999997</v>
      </c>
      <c r="N156">
        <v>99.999899999999997</v>
      </c>
      <c r="T156">
        <v>10</v>
      </c>
      <c r="U156">
        <v>10</v>
      </c>
      <c r="V156">
        <v>10</v>
      </c>
    </row>
    <row r="157" spans="1:27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5">
      <c r="A158" t="s">
        <v>157</v>
      </c>
      <c r="B158" t="s">
        <v>789</v>
      </c>
      <c r="C158" s="12" t="s">
        <v>894</v>
      </c>
      <c r="D158" t="s">
        <v>952</v>
      </c>
      <c r="E158">
        <f t="shared" ref="E158:E163" si="15">--TRIM(MID(D158,2,FIND(",",D158)-2))</f>
        <v>10</v>
      </c>
      <c r="F158">
        <f t="shared" ref="F158:F163" si="16">--TRIM(MID(D158,FIND(",",D158)+1,LEN(D158)-FIND(",",D158)-1))</f>
        <v>100</v>
      </c>
      <c r="G158">
        <f>SMALL(E158:E163,COUNTIF(E166:E186,0)+1)</f>
        <v>2</v>
      </c>
      <c r="H158">
        <f>MAX(F158:F164)</f>
        <v>5000</v>
      </c>
      <c r="I158">
        <f>_xlfn.PERCENTILE.INC(F158:F163,0.9)</f>
        <v>2550</v>
      </c>
      <c r="J158" t="s">
        <v>1150</v>
      </c>
      <c r="K158" t="s">
        <v>1148</v>
      </c>
      <c r="L158">
        <v>99</v>
      </c>
      <c r="M158">
        <v>99</v>
      </c>
      <c r="N158">
        <v>99</v>
      </c>
      <c r="O158">
        <f>SMALL(M158:M164,COUNTIF(M158:M164,0)+1)</f>
        <v>99</v>
      </c>
      <c r="P158">
        <f>MAX(N158:N164)</f>
        <v>99.9</v>
      </c>
      <c r="Q158">
        <f>_xlfn.PERCENTILE.INC(N158:N164,0.9)</f>
        <v>99.9</v>
      </c>
      <c r="R158" t="s">
        <v>1076</v>
      </c>
      <c r="S158" t="s">
        <v>27</v>
      </c>
      <c r="T158" t="s">
        <v>1017</v>
      </c>
      <c r="U158">
        <v>0.3</v>
      </c>
      <c r="V158">
        <v>20</v>
      </c>
      <c r="W158">
        <f>SMALL(U158:U164,COUNTIF(U158:U164,0)+1)</f>
        <v>0.3</v>
      </c>
      <c r="X158">
        <f>MAX(V158:V164)</f>
        <v>300</v>
      </c>
      <c r="Y158">
        <f>_xlfn.PERCENTILE.INC(V158:V164,0.9)</f>
        <v>300</v>
      </c>
      <c r="Z158" t="s">
        <v>1077</v>
      </c>
      <c r="AA158" t="s">
        <v>27</v>
      </c>
    </row>
    <row r="159" spans="1:27" x14ac:dyDescent="0.25">
      <c r="A159" t="s">
        <v>157</v>
      </c>
      <c r="B159" t="s">
        <v>789</v>
      </c>
      <c r="C159" s="12" t="s">
        <v>894</v>
      </c>
      <c r="D159" t="s">
        <v>952</v>
      </c>
      <c r="E159">
        <f t="shared" si="15"/>
        <v>10</v>
      </c>
      <c r="F159">
        <f t="shared" si="16"/>
        <v>100</v>
      </c>
      <c r="L159">
        <v>99</v>
      </c>
      <c r="M159">
        <v>99</v>
      </c>
      <c r="N159">
        <v>99</v>
      </c>
      <c r="T159" t="s">
        <v>1018</v>
      </c>
      <c r="U159">
        <v>60</v>
      </c>
      <c r="V159">
        <v>300</v>
      </c>
    </row>
    <row r="160" spans="1:27" x14ac:dyDescent="0.25">
      <c r="A160" t="s">
        <v>400</v>
      </c>
      <c r="B160" t="s">
        <v>789</v>
      </c>
      <c r="C160" s="12" t="s">
        <v>894</v>
      </c>
      <c r="D160" t="s">
        <v>926</v>
      </c>
      <c r="E160">
        <f t="shared" si="15"/>
        <v>2</v>
      </c>
      <c r="F160">
        <f t="shared" si="16"/>
        <v>2</v>
      </c>
      <c r="L160">
        <v>99.9</v>
      </c>
      <c r="M160">
        <v>99.9</v>
      </c>
      <c r="N160">
        <v>99.9</v>
      </c>
      <c r="T160">
        <v>100</v>
      </c>
      <c r="U160">
        <v>100</v>
      </c>
      <c r="V160">
        <v>100</v>
      </c>
    </row>
    <row r="161" spans="1:27" x14ac:dyDescent="0.25">
      <c r="A161" t="s">
        <v>157</v>
      </c>
      <c r="B161" t="s">
        <v>789</v>
      </c>
      <c r="C161" s="12" t="s">
        <v>894</v>
      </c>
      <c r="D161" t="s">
        <v>969</v>
      </c>
      <c r="E161">
        <f t="shared" si="15"/>
        <v>1</v>
      </c>
      <c r="F161">
        <f t="shared" si="16"/>
        <v>2</v>
      </c>
      <c r="L161">
        <v>99</v>
      </c>
      <c r="M161">
        <v>99</v>
      </c>
      <c r="N161">
        <v>99</v>
      </c>
      <c r="T161">
        <v>30</v>
      </c>
      <c r="U161">
        <v>30</v>
      </c>
      <c r="V161">
        <v>30</v>
      </c>
    </row>
    <row r="162" spans="1:27" x14ac:dyDescent="0.25">
      <c r="A162" t="s">
        <v>157</v>
      </c>
      <c r="B162" t="s">
        <v>789</v>
      </c>
      <c r="C162" s="12" t="s">
        <v>894</v>
      </c>
      <c r="D162" t="s">
        <v>969</v>
      </c>
      <c r="E162">
        <f t="shared" si="15"/>
        <v>1</v>
      </c>
      <c r="F162">
        <f t="shared" si="16"/>
        <v>2</v>
      </c>
      <c r="L162">
        <v>99</v>
      </c>
      <c r="M162">
        <v>99</v>
      </c>
      <c r="N162">
        <v>99</v>
      </c>
      <c r="T162" t="s">
        <v>1018</v>
      </c>
      <c r="U162">
        <v>60</v>
      </c>
      <c r="V162">
        <v>300</v>
      </c>
    </row>
    <row r="163" spans="1:27" x14ac:dyDescent="0.25">
      <c r="A163" t="s">
        <v>335</v>
      </c>
      <c r="B163" t="s">
        <v>789</v>
      </c>
      <c r="C163" s="12" t="s">
        <v>894</v>
      </c>
      <c r="D163" t="s">
        <v>1145</v>
      </c>
      <c r="E163">
        <f t="shared" si="15"/>
        <v>0</v>
      </c>
      <c r="F163">
        <f t="shared" si="16"/>
        <v>5000</v>
      </c>
      <c r="L163">
        <v>99</v>
      </c>
      <c r="M163">
        <v>99</v>
      </c>
      <c r="N163">
        <v>99</v>
      </c>
    </row>
    <row r="164" spans="1:27" x14ac:dyDescent="0.25">
      <c r="A164" t="s">
        <v>400</v>
      </c>
      <c r="B164" t="s">
        <v>789</v>
      </c>
      <c r="C164" s="12" t="s">
        <v>894</v>
      </c>
      <c r="L164">
        <v>99.9</v>
      </c>
      <c r="M164">
        <v>99.9</v>
      </c>
      <c r="N164">
        <v>99.9</v>
      </c>
      <c r="T164">
        <v>100</v>
      </c>
      <c r="U164">
        <v>100</v>
      </c>
      <c r="V164">
        <v>100</v>
      </c>
    </row>
    <row r="165" spans="1:27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5">
      <c r="A166" t="s">
        <v>335</v>
      </c>
      <c r="B166" t="s">
        <v>790</v>
      </c>
      <c r="C166" s="12" t="s">
        <v>905</v>
      </c>
      <c r="D166" t="s">
        <v>941</v>
      </c>
      <c r="E166">
        <f t="shared" ref="E166:E179" si="17">--TRIM(MID(D166,2,FIND(",",D166)-2))</f>
        <v>50</v>
      </c>
      <c r="G166">
        <f>SMALL(E166:E186,COUNTIF(E166:E186,0)+1)</f>
        <v>0.1</v>
      </c>
      <c r="H166">
        <f>MAX(F166:F186)</f>
        <v>100</v>
      </c>
      <c r="I166">
        <f>_xlfn.PERCENTILE.INC(F167:F186,0.9)</f>
        <v>23.000000000000043</v>
      </c>
      <c r="J166" t="s">
        <v>1152</v>
      </c>
      <c r="K166" t="s">
        <v>1153</v>
      </c>
      <c r="L166" t="s">
        <v>1170</v>
      </c>
      <c r="M166">
        <v>99.9</v>
      </c>
      <c r="N166">
        <v>99.999989999999997</v>
      </c>
      <c r="O166">
        <f>SMALL(M166:M186,COUNTIF(M166:M186,0)+1)</f>
        <v>99.9</v>
      </c>
      <c r="P166">
        <f>MAX(N166:N186)</f>
        <v>99.999999900000006</v>
      </c>
      <c r="Q166">
        <f>_xlfn.PERCENTILE.INC(N166:N186,0.9)</f>
        <v>99.999989999999997</v>
      </c>
      <c r="R166" t="s">
        <v>1073</v>
      </c>
      <c r="S166" t="s">
        <v>407</v>
      </c>
      <c r="W166">
        <f>SMALL(U166:U186,COUNTIF(U166:U186,0)+1)</f>
        <v>4.0000000000000001E-3</v>
      </c>
      <c r="X166">
        <f>MAX(V166:V186)</f>
        <v>100</v>
      </c>
      <c r="Y166">
        <f>_xlfn.PERCENTILE.INC(V166:V186,0.9)</f>
        <v>70.000000000000014</v>
      </c>
      <c r="Z166" t="s">
        <v>1208</v>
      </c>
      <c r="AA166">
        <v>100</v>
      </c>
    </row>
    <row r="167" spans="1:27" x14ac:dyDescent="0.25">
      <c r="A167" t="s">
        <v>400</v>
      </c>
      <c r="B167" t="s">
        <v>790</v>
      </c>
      <c r="C167" s="12" t="s">
        <v>905</v>
      </c>
      <c r="D167" t="s">
        <v>923</v>
      </c>
      <c r="E167">
        <f t="shared" si="17"/>
        <v>10</v>
      </c>
      <c r="F167">
        <f t="shared" ref="F167:F179" si="18">--TRIM(MID(D167,FIND(",",D167)+1,LEN(D167)-FIND(",",D167)-1))</f>
        <v>10</v>
      </c>
      <c r="L167">
        <v>99.998999999999995</v>
      </c>
      <c r="M167">
        <v>99.998999999999995</v>
      </c>
      <c r="N167">
        <v>99.998999999999995</v>
      </c>
      <c r="T167">
        <v>100</v>
      </c>
      <c r="U167">
        <v>100</v>
      </c>
      <c r="V167">
        <v>100</v>
      </c>
    </row>
    <row r="168" spans="1:27" x14ac:dyDescent="0.25">
      <c r="A168" t="s">
        <v>613</v>
      </c>
      <c r="B168" t="s">
        <v>790</v>
      </c>
      <c r="C168" s="12" t="s">
        <v>905</v>
      </c>
      <c r="D168" t="s">
        <v>952</v>
      </c>
      <c r="E168">
        <f t="shared" si="17"/>
        <v>10</v>
      </c>
      <c r="F168">
        <f t="shared" si="18"/>
        <v>100</v>
      </c>
      <c r="T168" t="s">
        <v>1065</v>
      </c>
      <c r="U168">
        <v>4.0000000000000001E-3</v>
      </c>
      <c r="V168">
        <v>7.0000000000000007E-2</v>
      </c>
    </row>
    <row r="169" spans="1:27" x14ac:dyDescent="0.25">
      <c r="A169" t="s">
        <v>157</v>
      </c>
      <c r="B169" t="s">
        <v>790</v>
      </c>
      <c r="C169" s="12" t="s">
        <v>905</v>
      </c>
      <c r="D169" t="s">
        <v>923</v>
      </c>
      <c r="E169">
        <f t="shared" si="17"/>
        <v>10</v>
      </c>
      <c r="F169">
        <f t="shared" si="18"/>
        <v>10</v>
      </c>
      <c r="L169" t="s">
        <v>1175</v>
      </c>
      <c r="M169">
        <v>99.9</v>
      </c>
      <c r="N169">
        <v>99.998999999999995</v>
      </c>
      <c r="T169" t="s">
        <v>1019</v>
      </c>
      <c r="U169">
        <v>0.1</v>
      </c>
      <c r="V169">
        <v>29</v>
      </c>
    </row>
    <row r="170" spans="1:27" x14ac:dyDescent="0.25">
      <c r="A170" t="s">
        <v>157</v>
      </c>
      <c r="B170" t="s">
        <v>790</v>
      </c>
      <c r="C170" s="12" t="s">
        <v>905</v>
      </c>
      <c r="D170" t="s">
        <v>923</v>
      </c>
      <c r="E170">
        <f t="shared" si="17"/>
        <v>10</v>
      </c>
      <c r="F170">
        <f t="shared" si="18"/>
        <v>10</v>
      </c>
      <c r="T170" t="s">
        <v>1020</v>
      </c>
      <c r="U170">
        <v>25</v>
      </c>
      <c r="V170">
        <v>50</v>
      </c>
    </row>
    <row r="171" spans="1:27" x14ac:dyDescent="0.25">
      <c r="A171" t="s">
        <v>335</v>
      </c>
      <c r="B171" t="s">
        <v>790</v>
      </c>
      <c r="C171" s="12" t="s">
        <v>905</v>
      </c>
      <c r="D171" t="s">
        <v>975</v>
      </c>
      <c r="E171">
        <f t="shared" si="17"/>
        <v>5</v>
      </c>
      <c r="F171">
        <f t="shared" si="18"/>
        <v>50</v>
      </c>
      <c r="L171" t="s">
        <v>1169</v>
      </c>
      <c r="M171">
        <v>99.998999999999995</v>
      </c>
    </row>
    <row r="172" spans="1:27" x14ac:dyDescent="0.25">
      <c r="A172" t="s">
        <v>335</v>
      </c>
      <c r="B172" t="s">
        <v>790</v>
      </c>
      <c r="C172" s="12" t="s">
        <v>905</v>
      </c>
      <c r="D172" t="s">
        <v>929</v>
      </c>
      <c r="E172">
        <f t="shared" si="17"/>
        <v>5</v>
      </c>
      <c r="F172">
        <f t="shared" si="18"/>
        <v>5</v>
      </c>
      <c r="L172">
        <v>99.998999999999995</v>
      </c>
      <c r="M172">
        <v>99.998999999999995</v>
      </c>
      <c r="N172">
        <v>99.998999999999995</v>
      </c>
      <c r="T172" t="s">
        <v>1027</v>
      </c>
      <c r="U172">
        <v>1</v>
      </c>
      <c r="V172">
        <v>2.5</v>
      </c>
    </row>
    <row r="173" spans="1:27" x14ac:dyDescent="0.25">
      <c r="A173" t="s">
        <v>96</v>
      </c>
      <c r="B173" t="s">
        <v>790</v>
      </c>
      <c r="C173" s="12" t="s">
        <v>905</v>
      </c>
      <c r="D173" t="s">
        <v>976</v>
      </c>
      <c r="E173">
        <f t="shared" si="17"/>
        <v>5</v>
      </c>
      <c r="F173">
        <f t="shared" si="18"/>
        <v>20</v>
      </c>
    </row>
    <row r="174" spans="1:27" x14ac:dyDescent="0.25">
      <c r="A174" t="s">
        <v>157</v>
      </c>
      <c r="B174" t="s">
        <v>790</v>
      </c>
      <c r="C174" s="12" t="s">
        <v>905</v>
      </c>
      <c r="D174" t="s">
        <v>929</v>
      </c>
      <c r="E174">
        <f t="shared" si="17"/>
        <v>5</v>
      </c>
      <c r="F174">
        <f t="shared" si="18"/>
        <v>5</v>
      </c>
      <c r="L174">
        <v>99.998999999999995</v>
      </c>
      <c r="M174">
        <v>99.998999999999995</v>
      </c>
      <c r="N174">
        <v>99.998999999999995</v>
      </c>
      <c r="T174" t="s">
        <v>1019</v>
      </c>
      <c r="U174">
        <v>0.1</v>
      </c>
      <c r="V174">
        <v>29</v>
      </c>
    </row>
    <row r="175" spans="1:27" x14ac:dyDescent="0.25">
      <c r="A175" t="s">
        <v>335</v>
      </c>
      <c r="B175" t="s">
        <v>790</v>
      </c>
      <c r="C175" s="12" t="s">
        <v>905</v>
      </c>
      <c r="D175" t="s">
        <v>925</v>
      </c>
      <c r="E175">
        <f t="shared" si="17"/>
        <v>2</v>
      </c>
      <c r="F175">
        <f t="shared" si="18"/>
        <v>10</v>
      </c>
      <c r="L175" t="s">
        <v>1175</v>
      </c>
      <c r="M175">
        <v>99.9</v>
      </c>
      <c r="N175">
        <v>99.998999999999995</v>
      </c>
    </row>
    <row r="176" spans="1:27" x14ac:dyDescent="0.25">
      <c r="A176" t="s">
        <v>335</v>
      </c>
      <c r="B176" t="s">
        <v>790</v>
      </c>
      <c r="C176" s="12" t="s">
        <v>905</v>
      </c>
      <c r="D176" t="s">
        <v>926</v>
      </c>
      <c r="E176">
        <f t="shared" si="17"/>
        <v>2</v>
      </c>
      <c r="F176">
        <f t="shared" si="18"/>
        <v>2</v>
      </c>
      <c r="L176">
        <v>99.999989999999997</v>
      </c>
      <c r="M176">
        <v>99.999989999999997</v>
      </c>
      <c r="N176">
        <v>99.999989999999997</v>
      </c>
    </row>
    <row r="177" spans="1:27" x14ac:dyDescent="0.25">
      <c r="A177" t="s">
        <v>335</v>
      </c>
      <c r="B177" t="s">
        <v>790</v>
      </c>
      <c r="C177" s="12" t="s">
        <v>905</v>
      </c>
      <c r="D177" t="s">
        <v>926</v>
      </c>
      <c r="E177">
        <f t="shared" si="17"/>
        <v>2</v>
      </c>
      <c r="F177">
        <f t="shared" si="18"/>
        <v>2</v>
      </c>
      <c r="L177">
        <v>99.999989999999997</v>
      </c>
      <c r="M177">
        <v>99.999989999999997</v>
      </c>
      <c r="N177">
        <v>99.999989999999997</v>
      </c>
    </row>
    <row r="178" spans="1:27" x14ac:dyDescent="0.25">
      <c r="A178" t="s">
        <v>335</v>
      </c>
      <c r="B178" t="s">
        <v>790</v>
      </c>
      <c r="C178" s="12" t="s">
        <v>905</v>
      </c>
      <c r="D178" t="s">
        <v>926</v>
      </c>
      <c r="E178">
        <f t="shared" si="17"/>
        <v>2</v>
      </c>
      <c r="F178">
        <f t="shared" si="18"/>
        <v>2</v>
      </c>
      <c r="L178">
        <v>99.9</v>
      </c>
      <c r="M178">
        <v>99.9</v>
      </c>
      <c r="N178">
        <v>99.9</v>
      </c>
    </row>
    <row r="179" spans="1:27" x14ac:dyDescent="0.25">
      <c r="A179" t="s">
        <v>335</v>
      </c>
      <c r="B179" t="s">
        <v>790</v>
      </c>
      <c r="C179" s="12" t="s">
        <v>905</v>
      </c>
      <c r="D179" t="s">
        <v>931</v>
      </c>
      <c r="E179">
        <f t="shared" si="17"/>
        <v>1</v>
      </c>
      <c r="F179">
        <f t="shared" si="18"/>
        <v>1</v>
      </c>
      <c r="L179">
        <v>99.998999999999995</v>
      </c>
      <c r="M179">
        <v>99.998999999999995</v>
      </c>
      <c r="N179">
        <v>99.998999999999995</v>
      </c>
    </row>
    <row r="180" spans="1:27" x14ac:dyDescent="0.25">
      <c r="A180" t="s">
        <v>335</v>
      </c>
      <c r="B180" t="s">
        <v>790</v>
      </c>
      <c r="C180" s="12" t="s">
        <v>905</v>
      </c>
      <c r="D180" t="s">
        <v>927</v>
      </c>
      <c r="E180">
        <v>0.5</v>
      </c>
      <c r="F180">
        <v>0.5</v>
      </c>
      <c r="L180">
        <v>99.998999999999995</v>
      </c>
      <c r="M180">
        <v>99.998999999999995</v>
      </c>
      <c r="N180">
        <v>99.998999999999995</v>
      </c>
    </row>
    <row r="181" spans="1:27" x14ac:dyDescent="0.25">
      <c r="A181" t="s">
        <v>335</v>
      </c>
      <c r="B181" t="s">
        <v>790</v>
      </c>
      <c r="C181" s="12" t="s">
        <v>905</v>
      </c>
      <c r="D181" t="s">
        <v>942</v>
      </c>
      <c r="E181">
        <v>0.5</v>
      </c>
      <c r="F181">
        <f>--TRIM(MID(D181,FIND(",",D181)+1,LEN(D181)-FIND(",",D181)-1))</f>
        <v>5</v>
      </c>
    </row>
    <row r="182" spans="1:27" x14ac:dyDescent="0.25">
      <c r="A182" t="s">
        <v>335</v>
      </c>
      <c r="B182" t="s">
        <v>790</v>
      </c>
      <c r="C182" s="12" t="s">
        <v>905</v>
      </c>
      <c r="D182" t="s">
        <v>942</v>
      </c>
      <c r="E182">
        <v>0.5</v>
      </c>
      <c r="F182">
        <f>--TRIM(MID(D182,FIND(",",D182)+1,LEN(D182)-FIND(",",D182)-1))</f>
        <v>5</v>
      </c>
    </row>
    <row r="183" spans="1:27" x14ac:dyDescent="0.25">
      <c r="A183" t="s">
        <v>112</v>
      </c>
      <c r="B183" t="s">
        <v>790</v>
      </c>
      <c r="C183" s="12" t="s">
        <v>905</v>
      </c>
      <c r="D183" t="s">
        <v>974</v>
      </c>
      <c r="E183">
        <v>0.1</v>
      </c>
      <c r="F183">
        <v>0.25</v>
      </c>
    </row>
    <row r="184" spans="1:27" x14ac:dyDescent="0.25">
      <c r="A184" t="s">
        <v>542</v>
      </c>
      <c r="B184" t="s">
        <v>790</v>
      </c>
      <c r="C184" s="12" t="s">
        <v>905</v>
      </c>
      <c r="D184" t="s">
        <v>1138</v>
      </c>
      <c r="E184">
        <f>--TRIM(MID(D184,2,FIND(",",D184)-2))</f>
        <v>0</v>
      </c>
      <c r="F184">
        <f>--TRIM(MID(D184,FIND(",",D184)+1,LEN(D184)-FIND(",",D184)-1))</f>
        <v>1</v>
      </c>
      <c r="L184">
        <v>99.998999999999995</v>
      </c>
      <c r="M184">
        <v>99.998999999999995</v>
      </c>
      <c r="N184">
        <v>99.998999999999995</v>
      </c>
      <c r="T184" t="s">
        <v>241</v>
      </c>
      <c r="U184">
        <v>50</v>
      </c>
    </row>
    <row r="185" spans="1:27" x14ac:dyDescent="0.25">
      <c r="A185" t="s">
        <v>112</v>
      </c>
      <c r="B185" t="s">
        <v>790</v>
      </c>
      <c r="C185" s="12" t="s">
        <v>905</v>
      </c>
      <c r="D185" t="s">
        <v>1141</v>
      </c>
      <c r="E185">
        <f>--TRIM(MID(D185,2,FIND(",",D185)-2))</f>
        <v>0</v>
      </c>
      <c r="F185">
        <f>--TRIM(MID(D185,FIND(",",D185)+1,LEN(D185)-FIND(",",D185)-1))</f>
        <v>10</v>
      </c>
    </row>
    <row r="186" spans="1:27" x14ac:dyDescent="0.25">
      <c r="A186" t="s">
        <v>143</v>
      </c>
      <c r="B186" t="s">
        <v>790</v>
      </c>
      <c r="C186" s="12" t="s">
        <v>905</v>
      </c>
      <c r="D186" t="s">
        <v>1138</v>
      </c>
      <c r="E186">
        <f>--TRIM(MID(D186,2,FIND(",",D186)-2))</f>
        <v>0</v>
      </c>
      <c r="F186">
        <f>--TRIM(MID(D186,FIND(",",D186)+1,LEN(D186)-FIND(",",D186)-1))</f>
        <v>1</v>
      </c>
      <c r="L186">
        <v>99.999999900000006</v>
      </c>
      <c r="M186">
        <v>99.999999900000006</v>
      </c>
      <c r="N186">
        <v>99.999999900000006</v>
      </c>
      <c r="T186" t="s">
        <v>565</v>
      </c>
      <c r="U186">
        <v>1</v>
      </c>
      <c r="V186">
        <v>10</v>
      </c>
    </row>
    <row r="187" spans="1:27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5">
      <c r="A188" t="s">
        <v>335</v>
      </c>
      <c r="B188" t="s">
        <v>790</v>
      </c>
      <c r="C188" s="12" t="s">
        <v>906</v>
      </c>
      <c r="D188" t="s">
        <v>925</v>
      </c>
      <c r="E188">
        <f t="shared" si="13"/>
        <v>2</v>
      </c>
      <c r="F188">
        <f t="shared" si="14"/>
        <v>10</v>
      </c>
      <c r="G188">
        <f>MIN(E188:E198)</f>
        <v>0.5</v>
      </c>
      <c r="H188">
        <f>MAX(F188:F198)</f>
        <v>150</v>
      </c>
      <c r="I188">
        <f>_xlfn.PERCENTILE.INC(F188:F198,0.9)</f>
        <v>128</v>
      </c>
      <c r="J188" t="s">
        <v>1151</v>
      </c>
      <c r="K188">
        <v>150</v>
      </c>
      <c r="L188" t="s">
        <v>1175</v>
      </c>
      <c r="M188">
        <v>99.9</v>
      </c>
      <c r="N188">
        <v>99.998999999999995</v>
      </c>
      <c r="O188">
        <f>MIN(M188:M198)</f>
        <v>99.9</v>
      </c>
      <c r="P188">
        <f>MAX(N188:N198)</f>
        <v>99.999989999999997</v>
      </c>
      <c r="Q188">
        <f>_xlfn.PERCENTILE.INC(N188:N198,0.9)</f>
        <v>99.99939599999999</v>
      </c>
      <c r="R188" t="s">
        <v>984</v>
      </c>
      <c r="S188" t="s">
        <v>345</v>
      </c>
      <c r="W188">
        <f>MIN(U188:U198)</f>
        <v>20</v>
      </c>
      <c r="X188">
        <f>MAX(V188:V198)</f>
        <v>40</v>
      </c>
      <c r="Y188">
        <f>_xlfn.PERCENTILE.INC(V188:V198,0.9)</f>
        <v>40</v>
      </c>
      <c r="Z188" t="s">
        <v>1209</v>
      </c>
      <c r="AA188" t="s">
        <v>27</v>
      </c>
    </row>
    <row r="189" spans="1:27" x14ac:dyDescent="0.25">
      <c r="A189" t="s">
        <v>335</v>
      </c>
      <c r="B189" t="s">
        <v>790</v>
      </c>
      <c r="C189" s="12" t="s">
        <v>906</v>
      </c>
      <c r="D189" t="s">
        <v>926</v>
      </c>
      <c r="E189">
        <f t="shared" si="13"/>
        <v>2</v>
      </c>
      <c r="F189">
        <f t="shared" si="14"/>
        <v>2</v>
      </c>
      <c r="L189">
        <v>99.999989999999997</v>
      </c>
      <c r="M189">
        <v>99.999989999999997</v>
      </c>
      <c r="N189">
        <v>99.999989999999997</v>
      </c>
    </row>
    <row r="190" spans="1:27" x14ac:dyDescent="0.25">
      <c r="A190" t="s">
        <v>335</v>
      </c>
      <c r="B190" t="s">
        <v>790</v>
      </c>
      <c r="C190" s="12" t="s">
        <v>906</v>
      </c>
      <c r="D190" t="s">
        <v>926</v>
      </c>
      <c r="E190">
        <f t="shared" si="13"/>
        <v>2</v>
      </c>
      <c r="F190">
        <f t="shared" si="14"/>
        <v>2</v>
      </c>
      <c r="L190">
        <v>99.998999999999995</v>
      </c>
      <c r="M190">
        <v>99.998999999999995</v>
      </c>
      <c r="N190">
        <v>99.998999999999995</v>
      </c>
    </row>
    <row r="191" spans="1:27" x14ac:dyDescent="0.25">
      <c r="A191" t="s">
        <v>335</v>
      </c>
      <c r="B191" t="s">
        <v>790</v>
      </c>
      <c r="C191" s="12" t="s">
        <v>906</v>
      </c>
      <c r="D191" t="s">
        <v>927</v>
      </c>
      <c r="E191">
        <v>0.5</v>
      </c>
      <c r="F191">
        <v>0.5</v>
      </c>
      <c r="L191">
        <v>99.998999999999995</v>
      </c>
      <c r="M191">
        <v>99.998999999999995</v>
      </c>
      <c r="N191">
        <v>99.998999999999995</v>
      </c>
    </row>
    <row r="192" spans="1:27" x14ac:dyDescent="0.25">
      <c r="A192" t="s">
        <v>335</v>
      </c>
      <c r="B192" t="s">
        <v>790</v>
      </c>
      <c r="C192" s="12" t="s">
        <v>906</v>
      </c>
      <c r="D192" t="s">
        <v>942</v>
      </c>
      <c r="E192">
        <v>0.5</v>
      </c>
      <c r="F192">
        <f t="shared" si="14"/>
        <v>5</v>
      </c>
    </row>
    <row r="193" spans="1:27" x14ac:dyDescent="0.25">
      <c r="A193" t="s">
        <v>335</v>
      </c>
      <c r="B193" t="s">
        <v>790</v>
      </c>
      <c r="C193" s="12" t="s">
        <v>906</v>
      </c>
      <c r="D193" t="s">
        <v>929</v>
      </c>
      <c r="E193">
        <f t="shared" si="13"/>
        <v>5</v>
      </c>
      <c r="F193">
        <f t="shared" si="14"/>
        <v>5</v>
      </c>
      <c r="L193" t="s">
        <v>1169</v>
      </c>
      <c r="M193">
        <v>99.998999999999995</v>
      </c>
    </row>
    <row r="194" spans="1:27" x14ac:dyDescent="0.25">
      <c r="A194" t="s">
        <v>335</v>
      </c>
      <c r="B194" t="s">
        <v>790</v>
      </c>
      <c r="C194" s="12" t="s">
        <v>906</v>
      </c>
      <c r="D194" t="s">
        <v>975</v>
      </c>
      <c r="E194">
        <f t="shared" si="13"/>
        <v>5</v>
      </c>
      <c r="F194">
        <f t="shared" si="14"/>
        <v>50</v>
      </c>
      <c r="L194" t="s">
        <v>1169</v>
      </c>
      <c r="M194">
        <v>99.998999999999995</v>
      </c>
    </row>
    <row r="195" spans="1:27" x14ac:dyDescent="0.25">
      <c r="A195" t="s">
        <v>335</v>
      </c>
      <c r="B195" t="s">
        <v>790</v>
      </c>
      <c r="C195" s="12" t="s">
        <v>906</v>
      </c>
      <c r="D195" t="s">
        <v>943</v>
      </c>
      <c r="E195">
        <f t="shared" si="13"/>
        <v>1</v>
      </c>
      <c r="F195">
        <f t="shared" si="14"/>
        <v>5</v>
      </c>
      <c r="L195">
        <v>99.9</v>
      </c>
      <c r="M195">
        <v>99.9</v>
      </c>
      <c r="N195">
        <v>99.9</v>
      </c>
    </row>
    <row r="196" spans="1:27" x14ac:dyDescent="0.25">
      <c r="A196" t="s">
        <v>335</v>
      </c>
      <c r="B196" t="s">
        <v>790</v>
      </c>
      <c r="C196" s="12" t="s">
        <v>906</v>
      </c>
      <c r="D196" t="s">
        <v>929</v>
      </c>
      <c r="E196">
        <f t="shared" si="13"/>
        <v>5</v>
      </c>
      <c r="F196">
        <f t="shared" si="14"/>
        <v>5</v>
      </c>
      <c r="L196">
        <v>99.9</v>
      </c>
      <c r="M196">
        <v>99.9</v>
      </c>
      <c r="N196">
        <v>99.9</v>
      </c>
    </row>
    <row r="197" spans="1:27" x14ac:dyDescent="0.25">
      <c r="A197" t="s">
        <v>112</v>
      </c>
      <c r="B197" t="s">
        <v>790</v>
      </c>
      <c r="C197" s="12" t="s">
        <v>906</v>
      </c>
      <c r="D197" t="s">
        <v>970</v>
      </c>
      <c r="E197">
        <f t="shared" si="13"/>
        <v>1</v>
      </c>
      <c r="F197">
        <f t="shared" si="14"/>
        <v>128</v>
      </c>
    </row>
    <row r="198" spans="1:27" x14ac:dyDescent="0.25">
      <c r="A198" t="s">
        <v>157</v>
      </c>
      <c r="B198" t="s">
        <v>790</v>
      </c>
      <c r="C198" s="12" t="s">
        <v>906</v>
      </c>
      <c r="D198" t="s">
        <v>971</v>
      </c>
      <c r="E198">
        <f t="shared" si="13"/>
        <v>150</v>
      </c>
      <c r="F198">
        <f t="shared" si="14"/>
        <v>150</v>
      </c>
      <c r="L198">
        <v>99.9</v>
      </c>
      <c r="M198">
        <v>99.9</v>
      </c>
      <c r="N198">
        <v>99.9</v>
      </c>
      <c r="T198" t="s">
        <v>1022</v>
      </c>
      <c r="U198">
        <v>20</v>
      </c>
      <c r="V198">
        <v>40</v>
      </c>
    </row>
    <row r="199" spans="1:27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5">
      <c r="A200" t="s">
        <v>312</v>
      </c>
      <c r="B200" t="s">
        <v>790</v>
      </c>
      <c r="C200" s="12" t="s">
        <v>907</v>
      </c>
      <c r="D200" t="s">
        <v>919</v>
      </c>
      <c r="E200">
        <f t="shared" ref="E200:E211" si="19">--TRIM(MID(D200,2,FIND(",",D200)-2))</f>
        <v>100</v>
      </c>
      <c r="F200">
        <f t="shared" ref="F200:F211" si="20">--TRIM(MID(D200,FIND(",",D200)+1,LEN(D200)-FIND(",",D200)-1))</f>
        <v>100</v>
      </c>
      <c r="G200">
        <f>SMALL(E200:E211,COUNTIF(E200:E211,0)+1)</f>
        <v>2</v>
      </c>
      <c r="H200">
        <f>MAX(F200:F211)</f>
        <v>5000</v>
      </c>
      <c r="I200">
        <f>_xlfn.PERCENTILE.INC(F200:F211,0.9)</f>
        <v>100</v>
      </c>
      <c r="J200" t="s">
        <v>1150</v>
      </c>
      <c r="K200" t="s">
        <v>1148</v>
      </c>
      <c r="O200">
        <f>SMALL(M200:M211,COUNTIF(M200:M211,0)+1)</f>
        <v>99</v>
      </c>
      <c r="P200">
        <f>MAX(N200:N211)</f>
        <v>99.998999999999995</v>
      </c>
      <c r="Q200">
        <f>_xlfn.PERCENTILE.INC(N200:N211,0.9)</f>
        <v>99.998999999999995</v>
      </c>
      <c r="R200" t="s">
        <v>1069</v>
      </c>
      <c r="S200" t="s">
        <v>27</v>
      </c>
      <c r="W200">
        <f>SMALL(U200:U211,COUNTIF(U200:U211,0)+1)</f>
        <v>1.1000000000000001</v>
      </c>
      <c r="X200">
        <f>MAX(V200:V211)</f>
        <v>100</v>
      </c>
      <c r="Y200">
        <f>_xlfn.PERCENTILE.INC(V200:V211,0.9)</f>
        <v>55</v>
      </c>
      <c r="Z200" t="s">
        <v>1225</v>
      </c>
      <c r="AA200">
        <v>100</v>
      </c>
    </row>
    <row r="201" spans="1:27" x14ac:dyDescent="0.25">
      <c r="A201" t="s">
        <v>312</v>
      </c>
      <c r="B201" t="s">
        <v>790</v>
      </c>
      <c r="C201" s="12" t="s">
        <v>907</v>
      </c>
      <c r="D201" t="s">
        <v>973</v>
      </c>
      <c r="E201">
        <f t="shared" si="19"/>
        <v>60</v>
      </c>
      <c r="F201">
        <f t="shared" si="20"/>
        <v>60</v>
      </c>
    </row>
    <row r="202" spans="1:27" x14ac:dyDescent="0.25">
      <c r="A202" t="s">
        <v>312</v>
      </c>
      <c r="B202" t="s">
        <v>790</v>
      </c>
      <c r="C202" s="12" t="s">
        <v>907</v>
      </c>
      <c r="D202" t="s">
        <v>956</v>
      </c>
      <c r="E202">
        <f t="shared" si="19"/>
        <v>12</v>
      </c>
      <c r="F202">
        <f t="shared" si="20"/>
        <v>12</v>
      </c>
    </row>
    <row r="203" spans="1:27" x14ac:dyDescent="0.25">
      <c r="A203" t="s">
        <v>335</v>
      </c>
      <c r="B203" t="s">
        <v>790</v>
      </c>
      <c r="C203" s="12" t="s">
        <v>907</v>
      </c>
      <c r="D203" t="s">
        <v>923</v>
      </c>
      <c r="E203">
        <f t="shared" si="19"/>
        <v>10</v>
      </c>
      <c r="F203">
        <f t="shared" si="20"/>
        <v>10</v>
      </c>
      <c r="L203">
        <v>99.998999999999995</v>
      </c>
      <c r="M203">
        <v>99.998999999999995</v>
      </c>
      <c r="N203">
        <v>99.998999999999995</v>
      </c>
      <c r="T203" t="s">
        <v>1026</v>
      </c>
      <c r="U203">
        <v>1.1000000000000001</v>
      </c>
      <c r="V203">
        <v>1.1000000000000001</v>
      </c>
    </row>
    <row r="204" spans="1:27" x14ac:dyDescent="0.25">
      <c r="A204" t="s">
        <v>157</v>
      </c>
      <c r="B204" t="s">
        <v>790</v>
      </c>
      <c r="C204" s="12" t="s">
        <v>907</v>
      </c>
      <c r="D204" t="s">
        <v>952</v>
      </c>
      <c r="E204">
        <f t="shared" si="19"/>
        <v>10</v>
      </c>
      <c r="F204">
        <f t="shared" si="20"/>
        <v>100</v>
      </c>
      <c r="L204" t="s">
        <v>1175</v>
      </c>
      <c r="M204">
        <v>99.9</v>
      </c>
      <c r="N204">
        <v>99.998999999999995</v>
      </c>
      <c r="T204">
        <v>10</v>
      </c>
      <c r="U204">
        <v>10</v>
      </c>
      <c r="V204">
        <v>10</v>
      </c>
    </row>
    <row r="205" spans="1:27" x14ac:dyDescent="0.25">
      <c r="A205" t="s">
        <v>157</v>
      </c>
      <c r="B205" t="s">
        <v>790</v>
      </c>
      <c r="C205" s="12" t="s">
        <v>907</v>
      </c>
      <c r="D205" t="s">
        <v>952</v>
      </c>
      <c r="E205">
        <f t="shared" si="19"/>
        <v>10</v>
      </c>
      <c r="F205">
        <f t="shared" si="20"/>
        <v>100</v>
      </c>
      <c r="L205" t="s">
        <v>1175</v>
      </c>
      <c r="M205">
        <v>99.9</v>
      </c>
      <c r="N205">
        <v>99.998999999999995</v>
      </c>
      <c r="T205">
        <v>10</v>
      </c>
      <c r="U205">
        <v>10</v>
      </c>
      <c r="V205">
        <v>10</v>
      </c>
    </row>
    <row r="206" spans="1:27" x14ac:dyDescent="0.25">
      <c r="A206" t="s">
        <v>157</v>
      </c>
      <c r="B206" t="s">
        <v>790</v>
      </c>
      <c r="C206" s="12" t="s">
        <v>907</v>
      </c>
      <c r="D206" t="s">
        <v>972</v>
      </c>
      <c r="E206">
        <f t="shared" si="19"/>
        <v>8</v>
      </c>
      <c r="F206">
        <f t="shared" si="20"/>
        <v>8</v>
      </c>
      <c r="L206">
        <v>99.9</v>
      </c>
      <c r="M206">
        <v>99.9</v>
      </c>
      <c r="N206">
        <v>99.9</v>
      </c>
      <c r="T206" t="s">
        <v>1023</v>
      </c>
      <c r="U206">
        <v>20</v>
      </c>
      <c r="V206">
        <v>100</v>
      </c>
    </row>
    <row r="207" spans="1:27" x14ac:dyDescent="0.25">
      <c r="A207" t="s">
        <v>312</v>
      </c>
      <c r="B207" t="s">
        <v>790</v>
      </c>
      <c r="C207" s="12" t="s">
        <v>907</v>
      </c>
      <c r="D207" t="s">
        <v>926</v>
      </c>
      <c r="E207">
        <f t="shared" si="19"/>
        <v>2</v>
      </c>
      <c r="F207">
        <f t="shared" si="20"/>
        <v>2</v>
      </c>
    </row>
    <row r="208" spans="1:27" x14ac:dyDescent="0.25">
      <c r="A208" t="s">
        <v>335</v>
      </c>
      <c r="B208" t="s">
        <v>790</v>
      </c>
      <c r="C208" s="12" t="s">
        <v>907</v>
      </c>
      <c r="D208" t="s">
        <v>1145</v>
      </c>
      <c r="E208">
        <f t="shared" si="19"/>
        <v>0</v>
      </c>
      <c r="F208">
        <f t="shared" si="20"/>
        <v>5000</v>
      </c>
      <c r="L208">
        <v>99</v>
      </c>
      <c r="M208">
        <v>99</v>
      </c>
      <c r="N208">
        <v>99</v>
      </c>
    </row>
    <row r="209" spans="1:22" x14ac:dyDescent="0.25">
      <c r="A209" t="s">
        <v>112</v>
      </c>
      <c r="B209" t="s">
        <v>790</v>
      </c>
      <c r="C209" s="12" t="s">
        <v>907</v>
      </c>
      <c r="D209" t="s">
        <v>1146</v>
      </c>
      <c r="E209">
        <f t="shared" si="19"/>
        <v>0</v>
      </c>
      <c r="F209">
        <f t="shared" si="20"/>
        <v>5</v>
      </c>
    </row>
    <row r="210" spans="1:22" x14ac:dyDescent="0.25">
      <c r="A210" t="s">
        <v>157</v>
      </c>
      <c r="B210" t="s">
        <v>790</v>
      </c>
      <c r="C210" s="12" t="s">
        <v>907</v>
      </c>
      <c r="D210" t="s">
        <v>1147</v>
      </c>
      <c r="E210">
        <f t="shared" si="19"/>
        <v>0</v>
      </c>
      <c r="F210">
        <f t="shared" si="20"/>
        <v>100</v>
      </c>
      <c r="L210">
        <v>99.9</v>
      </c>
      <c r="M210">
        <v>99.9</v>
      </c>
      <c r="N210">
        <v>99.9</v>
      </c>
      <c r="T210">
        <v>10</v>
      </c>
      <c r="U210">
        <v>10</v>
      </c>
      <c r="V210">
        <v>10</v>
      </c>
    </row>
    <row r="211" spans="1:22" x14ac:dyDescent="0.25">
      <c r="A211" t="s">
        <v>157</v>
      </c>
      <c r="B211" t="s">
        <v>790</v>
      </c>
      <c r="C211" s="12" t="s">
        <v>907</v>
      </c>
      <c r="D211" t="s">
        <v>1147</v>
      </c>
      <c r="E211">
        <f t="shared" si="19"/>
        <v>0</v>
      </c>
      <c r="F211">
        <f t="shared" si="20"/>
        <v>100</v>
      </c>
      <c r="L211">
        <v>99.998999999999995</v>
      </c>
      <c r="M211">
        <v>99.998999999999995</v>
      </c>
      <c r="N211">
        <v>99.998999999999995</v>
      </c>
      <c r="T211">
        <v>10</v>
      </c>
      <c r="U211">
        <v>10</v>
      </c>
      <c r="V211">
        <v>10</v>
      </c>
    </row>
    <row r="214" spans="1:22" x14ac:dyDescent="0.25">
      <c r="A214" t="s">
        <v>1253</v>
      </c>
      <c r="C214" t="s">
        <v>1252</v>
      </c>
    </row>
    <row r="215" spans="1:22" x14ac:dyDescent="0.25">
      <c r="A215" t="s">
        <v>1251</v>
      </c>
      <c r="B215">
        <v>1</v>
      </c>
      <c r="C215">
        <f>COUNTIF(A:A,"\cite{1}")</f>
        <v>5</v>
      </c>
    </row>
    <row r="216" spans="1:22" x14ac:dyDescent="0.25">
      <c r="A216" t="s">
        <v>1251</v>
      </c>
      <c r="B216">
        <v>2</v>
      </c>
      <c r="C216">
        <f>COUNTIF(A:A,"\cite{2}")</f>
        <v>0</v>
      </c>
    </row>
    <row r="217" spans="1:22" x14ac:dyDescent="0.25">
      <c r="A217" t="s">
        <v>1251</v>
      </c>
      <c r="B217">
        <v>3</v>
      </c>
      <c r="C217">
        <f>COUNTIF(A:A,"\cite{3}")</f>
        <v>1</v>
      </c>
    </row>
    <row r="218" spans="1:22" x14ac:dyDescent="0.25">
      <c r="A218" t="s">
        <v>1251</v>
      </c>
      <c r="B218">
        <v>4</v>
      </c>
      <c r="C218">
        <f>COUNTIF(A:A,"\cite{4}")</f>
        <v>0</v>
      </c>
    </row>
    <row r="219" spans="1:22" x14ac:dyDescent="0.25">
      <c r="A219" t="s">
        <v>1251</v>
      </c>
      <c r="B219">
        <v>5</v>
      </c>
      <c r="C219">
        <f>COUNTIF(A:A,"\cite{5}")</f>
        <v>6</v>
      </c>
    </row>
    <row r="220" spans="1:22" x14ac:dyDescent="0.25">
      <c r="A220" t="s">
        <v>1251</v>
      </c>
      <c r="B220">
        <v>6</v>
      </c>
      <c r="C220">
        <f>COUNTIF(A:A,"\cite{6}")</f>
        <v>10</v>
      </c>
    </row>
    <row r="221" spans="1:22" x14ac:dyDescent="0.25">
      <c r="A221" t="s">
        <v>1251</v>
      </c>
      <c r="B221">
        <v>7</v>
      </c>
      <c r="C221">
        <f>COUNTIF(A:A,"\cite{7}")</f>
        <v>5</v>
      </c>
    </row>
    <row r="222" spans="1:22" x14ac:dyDescent="0.25">
      <c r="A222" t="s">
        <v>1251</v>
      </c>
      <c r="B222">
        <v>8</v>
      </c>
      <c r="C222" s="6">
        <f>COUNTIF(A:A,"\cite{8}")</f>
        <v>27</v>
      </c>
      <c r="D222" t="s">
        <v>158</v>
      </c>
    </row>
    <row r="223" spans="1:22" x14ac:dyDescent="0.25">
      <c r="A223" t="s">
        <v>1251</v>
      </c>
      <c r="B223">
        <v>9</v>
      </c>
      <c r="C223">
        <f>COUNTIF(A:A,"\cite{9}")</f>
        <v>3</v>
      </c>
    </row>
    <row r="224" spans="1:22" x14ac:dyDescent="0.25">
      <c r="A224" t="s">
        <v>1251</v>
      </c>
      <c r="B224">
        <v>10</v>
      </c>
      <c r="C224">
        <f>COUNTIF(A:A,"\cite{10}")</f>
        <v>6</v>
      </c>
    </row>
    <row r="225" spans="1:4" x14ac:dyDescent="0.25">
      <c r="A225" t="s">
        <v>1251</v>
      </c>
      <c r="B225">
        <v>11</v>
      </c>
      <c r="C225">
        <f>COUNTIF(A:A,"\cite{11}")</f>
        <v>8</v>
      </c>
    </row>
    <row r="226" spans="1:4" x14ac:dyDescent="0.25">
      <c r="A226" t="s">
        <v>1251</v>
      </c>
      <c r="B226">
        <v>12</v>
      </c>
      <c r="C226">
        <f>COUNTIF(A:A,"\cite{12}")</f>
        <v>4</v>
      </c>
    </row>
    <row r="227" spans="1:4" x14ac:dyDescent="0.25">
      <c r="A227" t="s">
        <v>1251</v>
      </c>
      <c r="B227">
        <v>13</v>
      </c>
      <c r="C227" s="6">
        <f>COUNTIF(A:A,"\cite{13}")</f>
        <v>42</v>
      </c>
      <c r="D227" t="s">
        <v>336</v>
      </c>
    </row>
    <row r="228" spans="1:4" x14ac:dyDescent="0.25">
      <c r="A228" t="s">
        <v>1251</v>
      </c>
      <c r="B228">
        <v>14</v>
      </c>
      <c r="C228" s="6">
        <f>COUNTIF(A:A,"\cite{14}")</f>
        <v>43</v>
      </c>
      <c r="D228" t="s">
        <v>401</v>
      </c>
    </row>
    <row r="229" spans="1:4" x14ac:dyDescent="0.25">
      <c r="A229" t="s">
        <v>1251</v>
      </c>
      <c r="B229">
        <v>15</v>
      </c>
      <c r="C229">
        <f>COUNTIF(A:A,"\cite{15}")</f>
        <v>4</v>
      </c>
    </row>
    <row r="230" spans="1:4" x14ac:dyDescent="0.25">
      <c r="A230" t="s">
        <v>1251</v>
      </c>
      <c r="B230">
        <v>16</v>
      </c>
      <c r="C230">
        <f>COUNTIF(A:A,"\cite{16}")</f>
        <v>2</v>
      </c>
    </row>
    <row r="231" spans="1:4" x14ac:dyDescent="0.25">
      <c r="A231" t="s">
        <v>1251</v>
      </c>
      <c r="B231">
        <v>17</v>
      </c>
      <c r="C231">
        <f>COUNTIF(A:A,"\cite{17}")</f>
        <v>2</v>
      </c>
    </row>
    <row r="232" spans="1:4" x14ac:dyDescent="0.25">
      <c r="A232" t="s">
        <v>1251</v>
      </c>
      <c r="B232">
        <v>18</v>
      </c>
      <c r="C232">
        <f>COUNTIF(A:A,"\cite{18}")</f>
        <v>1</v>
      </c>
    </row>
    <row r="233" spans="1:4" x14ac:dyDescent="0.25">
      <c r="A233" t="s">
        <v>1251</v>
      </c>
      <c r="B233">
        <v>19</v>
      </c>
      <c r="C233">
        <f>COUNTIF(A:A,"\cite{19}")</f>
        <v>5</v>
      </c>
    </row>
    <row r="234" spans="1:4" x14ac:dyDescent="0.25">
      <c r="A234" t="s">
        <v>1251</v>
      </c>
      <c r="B234">
        <v>20</v>
      </c>
      <c r="C234">
        <f>COUNTIF(A:A,"\cite{20}")</f>
        <v>3</v>
      </c>
    </row>
    <row r="235" spans="1:4" x14ac:dyDescent="0.25">
      <c r="A235" t="s">
        <v>1251</v>
      </c>
      <c r="B235">
        <v>21</v>
      </c>
      <c r="C235">
        <f>COUNTIF(A:A,"\cite{21}")</f>
        <v>11</v>
      </c>
    </row>
    <row r="236" spans="1:4" x14ac:dyDescent="0.25">
      <c r="A236" t="s">
        <v>1251</v>
      </c>
      <c r="B236">
        <v>22</v>
      </c>
      <c r="C236">
        <f>COUNTIF(A:A,"\cite{22}")</f>
        <v>3</v>
      </c>
    </row>
  </sheetData>
  <sortState xmlns:xlrd2="http://schemas.microsoft.com/office/spreadsheetml/2017/richdata2" ref="A36:L41">
    <sortCondition descending="1" ref="F36:F4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6C15-5D7A-4C6D-9B26-7A6DCC78A7F3}">
  <dimension ref="A1:I78"/>
  <sheetViews>
    <sheetView zoomScale="85" zoomScaleNormal="85" workbookViewId="0">
      <selection activeCell="A78" sqref="A78:D98"/>
    </sheetView>
  </sheetViews>
  <sheetFormatPr defaultRowHeight="15" x14ac:dyDescent="0.25"/>
  <cols>
    <col min="1" max="1" width="21" customWidth="1"/>
    <col min="2" max="2" width="49.42578125" customWidth="1"/>
    <col min="3" max="3" width="26.42578125" customWidth="1"/>
    <col min="4" max="4" width="21.140625" customWidth="1"/>
    <col min="5" max="5" width="19" customWidth="1"/>
    <col min="6" max="6" width="19.5703125" customWidth="1"/>
    <col min="7" max="7" width="21" customWidth="1"/>
    <col min="8" max="8" width="25" customWidth="1"/>
  </cols>
  <sheetData>
    <row r="1" spans="1:6" x14ac:dyDescent="0.25">
      <c r="A1" s="7" t="s">
        <v>1137</v>
      </c>
    </row>
    <row r="2" spans="1:6" x14ac:dyDescent="0.25">
      <c r="A2" s="1" t="s">
        <v>4</v>
      </c>
      <c r="B2" s="1" t="s">
        <v>850</v>
      </c>
      <c r="C2" s="1" t="s">
        <v>635</v>
      </c>
      <c r="D2" s="1" t="s">
        <v>332</v>
      </c>
      <c r="E2" s="1" t="s">
        <v>561</v>
      </c>
      <c r="F2" s="1" t="s">
        <v>1132</v>
      </c>
    </row>
    <row r="3" spans="1:6" x14ac:dyDescent="0.25">
      <c r="A3" t="s">
        <v>786</v>
      </c>
      <c r="B3" s="12" t="s">
        <v>847</v>
      </c>
      <c r="C3" t="s">
        <v>1129</v>
      </c>
      <c r="D3" t="s">
        <v>347</v>
      </c>
      <c r="E3" t="s">
        <v>1130</v>
      </c>
      <c r="F3" t="s">
        <v>1131</v>
      </c>
    </row>
    <row r="4" spans="1:6" x14ac:dyDescent="0.25">
      <c r="A4" t="s">
        <v>786</v>
      </c>
      <c r="B4" s="12" t="s">
        <v>846</v>
      </c>
      <c r="C4" t="s">
        <v>1127</v>
      </c>
      <c r="D4" t="s">
        <v>338</v>
      </c>
      <c r="E4" t="s">
        <v>1128</v>
      </c>
      <c r="F4" t="s">
        <v>1126</v>
      </c>
    </row>
    <row r="5" spans="1:6" x14ac:dyDescent="0.25">
      <c r="A5" t="s">
        <v>786</v>
      </c>
      <c r="B5" s="12" t="s">
        <v>849</v>
      </c>
      <c r="C5" t="s">
        <v>1124</v>
      </c>
      <c r="D5" t="s">
        <v>1125</v>
      </c>
      <c r="E5" t="s">
        <v>1121</v>
      </c>
      <c r="F5" t="s">
        <v>400</v>
      </c>
    </row>
    <row r="6" spans="1:6" x14ac:dyDescent="0.25">
      <c r="A6" t="s">
        <v>785</v>
      </c>
      <c r="B6" s="12" t="s">
        <v>860</v>
      </c>
      <c r="C6" t="s">
        <v>1038</v>
      </c>
      <c r="D6" t="s">
        <v>1122</v>
      </c>
      <c r="E6" t="s">
        <v>1107</v>
      </c>
      <c r="F6" t="s">
        <v>1123</v>
      </c>
    </row>
    <row r="7" spans="1:6" x14ac:dyDescent="0.25">
      <c r="A7" t="s">
        <v>785</v>
      </c>
      <c r="B7" s="12" t="s">
        <v>859</v>
      </c>
      <c r="C7" t="s">
        <v>1038</v>
      </c>
      <c r="D7" t="s">
        <v>1120</v>
      </c>
      <c r="E7" t="s">
        <v>1121</v>
      </c>
      <c r="F7" t="s">
        <v>400</v>
      </c>
    </row>
    <row r="8" spans="1:6" x14ac:dyDescent="0.25">
      <c r="A8" t="s">
        <v>785</v>
      </c>
      <c r="B8" s="12" t="s">
        <v>858</v>
      </c>
      <c r="C8" t="s">
        <v>1118</v>
      </c>
      <c r="D8" t="s">
        <v>1106</v>
      </c>
      <c r="E8" t="s">
        <v>1117</v>
      </c>
      <c r="F8" t="s">
        <v>1119</v>
      </c>
    </row>
    <row r="9" spans="1:6" x14ac:dyDescent="0.25">
      <c r="A9" t="s">
        <v>744</v>
      </c>
      <c r="B9" s="12" t="s">
        <v>867</v>
      </c>
      <c r="C9" t="s">
        <v>1114</v>
      </c>
      <c r="D9" t="s">
        <v>1113</v>
      </c>
      <c r="E9" t="s">
        <v>1115</v>
      </c>
      <c r="F9" t="s">
        <v>1116</v>
      </c>
    </row>
    <row r="10" spans="1:6" x14ac:dyDescent="0.25">
      <c r="A10" t="s">
        <v>744</v>
      </c>
      <c r="B10" s="12" t="s">
        <v>865</v>
      </c>
      <c r="C10" t="s">
        <v>565</v>
      </c>
      <c r="D10" t="s">
        <v>1111</v>
      </c>
      <c r="E10">
        <v>1600</v>
      </c>
      <c r="F10" t="s">
        <v>1112</v>
      </c>
    </row>
    <row r="11" spans="1:6" x14ac:dyDescent="0.25">
      <c r="A11" t="s">
        <v>788</v>
      </c>
      <c r="B11" s="12" t="s">
        <v>875</v>
      </c>
      <c r="C11">
        <v>1</v>
      </c>
      <c r="D11" t="s">
        <v>387</v>
      </c>
      <c r="E11">
        <v>10000</v>
      </c>
      <c r="F11" t="s">
        <v>1110</v>
      </c>
    </row>
    <row r="12" spans="1:6" x14ac:dyDescent="0.25">
      <c r="A12" t="s">
        <v>788</v>
      </c>
      <c r="B12" s="12" t="s">
        <v>876</v>
      </c>
      <c r="C12" t="s">
        <v>1108</v>
      </c>
      <c r="D12" t="s">
        <v>1106</v>
      </c>
      <c r="E12" t="s">
        <v>1107</v>
      </c>
      <c r="F12" t="s">
        <v>1109</v>
      </c>
    </row>
    <row r="13" spans="1:6" x14ac:dyDescent="0.25">
      <c r="A13" t="s">
        <v>788</v>
      </c>
      <c r="B13" s="12" t="s">
        <v>873</v>
      </c>
      <c r="C13" t="s">
        <v>1105</v>
      </c>
      <c r="D13" t="s">
        <v>1095</v>
      </c>
      <c r="E13" t="s">
        <v>1098</v>
      </c>
      <c r="F13" t="s">
        <v>1099</v>
      </c>
    </row>
    <row r="14" spans="1:6" x14ac:dyDescent="0.25">
      <c r="A14" s="23" t="s">
        <v>788</v>
      </c>
      <c r="B14" s="12" t="s">
        <v>874</v>
      </c>
      <c r="C14" t="s">
        <v>1104</v>
      </c>
      <c r="D14" t="s">
        <v>1095</v>
      </c>
      <c r="E14" t="s">
        <v>1096</v>
      </c>
      <c r="F14" t="s">
        <v>1097</v>
      </c>
    </row>
    <row r="15" spans="1:6" x14ac:dyDescent="0.25">
      <c r="A15" s="23" t="s">
        <v>788</v>
      </c>
      <c r="B15" s="12" t="s">
        <v>872</v>
      </c>
      <c r="C15" t="s">
        <v>1091</v>
      </c>
      <c r="D15" t="s">
        <v>1092</v>
      </c>
      <c r="E15" t="s">
        <v>1093</v>
      </c>
      <c r="F15" s="23" t="s">
        <v>1094</v>
      </c>
    </row>
    <row r="16" spans="1:6" x14ac:dyDescent="0.25">
      <c r="A16" t="s">
        <v>789</v>
      </c>
      <c r="B16" s="12" t="s">
        <v>890</v>
      </c>
      <c r="C16" t="s">
        <v>1088</v>
      </c>
      <c r="D16" t="s">
        <v>1069</v>
      </c>
      <c r="E16" t="s">
        <v>1080</v>
      </c>
      <c r="F16" t="s">
        <v>1089</v>
      </c>
    </row>
    <row r="17" spans="1:9" x14ac:dyDescent="0.25">
      <c r="A17" t="s">
        <v>789</v>
      </c>
      <c r="B17" s="12" t="s">
        <v>891</v>
      </c>
      <c r="C17" t="s">
        <v>1081</v>
      </c>
      <c r="D17" t="s">
        <v>1078</v>
      </c>
      <c r="E17" t="s">
        <v>1082</v>
      </c>
      <c r="F17" t="s">
        <v>1083</v>
      </c>
    </row>
    <row r="18" spans="1:9" x14ac:dyDescent="0.25">
      <c r="A18" t="s">
        <v>789</v>
      </c>
      <c r="B18" s="12" t="s">
        <v>893</v>
      </c>
      <c r="C18" t="s">
        <v>1103</v>
      </c>
      <c r="D18" t="s">
        <v>1078</v>
      </c>
      <c r="E18" t="s">
        <v>1079</v>
      </c>
      <c r="F18" t="s">
        <v>1087</v>
      </c>
    </row>
    <row r="19" spans="1:9" x14ac:dyDescent="0.25">
      <c r="A19" t="s">
        <v>789</v>
      </c>
      <c r="B19" s="12" t="s">
        <v>894</v>
      </c>
      <c r="C19" t="s">
        <v>1102</v>
      </c>
      <c r="D19" t="s">
        <v>1076</v>
      </c>
      <c r="E19" t="s">
        <v>1077</v>
      </c>
      <c r="F19" t="s">
        <v>1086</v>
      </c>
    </row>
    <row r="20" spans="1:9" x14ac:dyDescent="0.25">
      <c r="A20" t="s">
        <v>790</v>
      </c>
      <c r="B20" s="12" t="s">
        <v>905</v>
      </c>
      <c r="C20" t="s">
        <v>1101</v>
      </c>
      <c r="D20" t="s">
        <v>1074</v>
      </c>
      <c r="E20" t="s">
        <v>1075</v>
      </c>
      <c r="F20" t="s">
        <v>1085</v>
      </c>
    </row>
    <row r="21" spans="1:9" x14ac:dyDescent="0.25">
      <c r="A21" t="s">
        <v>790</v>
      </c>
      <c r="B21" s="12" t="s">
        <v>906</v>
      </c>
      <c r="C21" t="s">
        <v>1072</v>
      </c>
      <c r="D21" t="s">
        <v>1073</v>
      </c>
      <c r="E21" t="s">
        <v>1022</v>
      </c>
      <c r="F21" t="s">
        <v>1084</v>
      </c>
    </row>
    <row r="22" spans="1:9" x14ac:dyDescent="0.25">
      <c r="A22" t="s">
        <v>790</v>
      </c>
      <c r="B22" s="12" t="s">
        <v>907</v>
      </c>
      <c r="C22" t="s">
        <v>1100</v>
      </c>
      <c r="D22" t="s">
        <v>1069</v>
      </c>
      <c r="E22" t="s">
        <v>1070</v>
      </c>
      <c r="F22" t="s">
        <v>1071</v>
      </c>
    </row>
    <row r="24" spans="1:9" x14ac:dyDescent="0.25">
      <c r="A24" s="7" t="s">
        <v>1212</v>
      </c>
    </row>
    <row r="25" spans="1:9" x14ac:dyDescent="0.25">
      <c r="A25" s="1" t="s">
        <v>4</v>
      </c>
      <c r="B25" s="1" t="s">
        <v>850</v>
      </c>
      <c r="C25" s="1" t="s">
        <v>1226</v>
      </c>
      <c r="D25" s="1" t="s">
        <v>1227</v>
      </c>
      <c r="E25" s="1" t="s">
        <v>1228</v>
      </c>
      <c r="F25" s="1" t="s">
        <v>1229</v>
      </c>
      <c r="G25" s="1" t="s">
        <v>332</v>
      </c>
      <c r="H25" s="1" t="s">
        <v>1230</v>
      </c>
      <c r="I25" s="1" t="s">
        <v>1132</v>
      </c>
    </row>
    <row r="26" spans="1:9" x14ac:dyDescent="0.25">
      <c r="A26" s="23" t="s">
        <v>788</v>
      </c>
      <c r="B26" s="12" t="s">
        <v>872</v>
      </c>
      <c r="C26" t="s">
        <v>1158</v>
      </c>
      <c r="D26" t="s">
        <v>1159</v>
      </c>
      <c r="E26" t="s">
        <v>1093</v>
      </c>
      <c r="F26" t="s">
        <v>27</v>
      </c>
      <c r="G26" t="s">
        <v>1092</v>
      </c>
      <c r="H26" t="s">
        <v>27</v>
      </c>
      <c r="I26" t="s">
        <v>1094</v>
      </c>
    </row>
    <row r="27" spans="1:9" x14ac:dyDescent="0.25">
      <c r="A27" t="s">
        <v>788</v>
      </c>
      <c r="B27" s="12" t="s">
        <v>876</v>
      </c>
      <c r="C27" t="s">
        <v>1162</v>
      </c>
      <c r="D27" t="s">
        <v>241</v>
      </c>
      <c r="E27" t="s">
        <v>1081</v>
      </c>
      <c r="F27">
        <v>1000</v>
      </c>
      <c r="G27" t="s">
        <v>1192</v>
      </c>
      <c r="H27" t="s">
        <v>27</v>
      </c>
      <c r="I27" t="s">
        <v>1109</v>
      </c>
    </row>
    <row r="28" spans="1:9" x14ac:dyDescent="0.25">
      <c r="A28" t="s">
        <v>788</v>
      </c>
      <c r="B28" s="12" t="s">
        <v>873</v>
      </c>
      <c r="C28" t="s">
        <v>1160</v>
      </c>
      <c r="D28" t="s">
        <v>1165</v>
      </c>
      <c r="E28" t="s">
        <v>1206</v>
      </c>
      <c r="F28" t="s">
        <v>1035</v>
      </c>
      <c r="G28" t="s">
        <v>1193</v>
      </c>
      <c r="H28" t="s">
        <v>27</v>
      </c>
      <c r="I28" t="s">
        <v>1099</v>
      </c>
    </row>
    <row r="29" spans="1:9" x14ac:dyDescent="0.25">
      <c r="A29" s="23" t="s">
        <v>788</v>
      </c>
      <c r="B29" s="12" t="s">
        <v>874</v>
      </c>
      <c r="C29" t="s">
        <v>1035</v>
      </c>
      <c r="D29" t="s">
        <v>1164</v>
      </c>
      <c r="E29" t="s">
        <v>1093</v>
      </c>
      <c r="F29">
        <v>1000</v>
      </c>
      <c r="G29" t="s">
        <v>1194</v>
      </c>
      <c r="H29" t="s">
        <v>407</v>
      </c>
      <c r="I29" t="s">
        <v>1211</v>
      </c>
    </row>
    <row r="30" spans="1:9" x14ac:dyDescent="0.25">
      <c r="A30" t="s">
        <v>788</v>
      </c>
      <c r="B30" s="12" t="s">
        <v>875</v>
      </c>
      <c r="C30">
        <v>1</v>
      </c>
      <c r="D30" t="s">
        <v>27</v>
      </c>
      <c r="E30">
        <v>10000</v>
      </c>
      <c r="F30" t="s">
        <v>27</v>
      </c>
      <c r="G30" t="s">
        <v>387</v>
      </c>
      <c r="H30" t="s">
        <v>27</v>
      </c>
      <c r="I30" t="s">
        <v>1110</v>
      </c>
    </row>
    <row r="32" spans="1:9" x14ac:dyDescent="0.25">
      <c r="A32" t="s">
        <v>790</v>
      </c>
      <c r="B32" s="12" t="s">
        <v>905</v>
      </c>
      <c r="C32" t="s">
        <v>1152</v>
      </c>
      <c r="D32" t="s">
        <v>1153</v>
      </c>
      <c r="E32" t="s">
        <v>1208</v>
      </c>
      <c r="F32">
        <v>100</v>
      </c>
      <c r="G32" t="s">
        <v>1073</v>
      </c>
      <c r="H32" t="s">
        <v>407</v>
      </c>
      <c r="I32" t="s">
        <v>1085</v>
      </c>
    </row>
    <row r="33" spans="1:9" x14ac:dyDescent="0.25">
      <c r="A33" t="s">
        <v>790</v>
      </c>
      <c r="B33" s="12" t="s">
        <v>906</v>
      </c>
      <c r="C33" t="s">
        <v>1151</v>
      </c>
      <c r="D33">
        <v>150</v>
      </c>
      <c r="E33" t="s">
        <v>1209</v>
      </c>
      <c r="F33" t="s">
        <v>27</v>
      </c>
      <c r="G33" t="s">
        <v>984</v>
      </c>
      <c r="H33" t="s">
        <v>345</v>
      </c>
      <c r="I33" t="s">
        <v>1084</v>
      </c>
    </row>
    <row r="34" spans="1:9" x14ac:dyDescent="0.25">
      <c r="A34" t="s">
        <v>790</v>
      </c>
      <c r="B34" s="12" t="s">
        <v>907</v>
      </c>
      <c r="C34" t="s">
        <v>1150</v>
      </c>
      <c r="D34" t="s">
        <v>1148</v>
      </c>
      <c r="E34" t="s">
        <v>1225</v>
      </c>
      <c r="F34">
        <v>100</v>
      </c>
      <c r="G34" t="s">
        <v>1069</v>
      </c>
      <c r="H34" t="s">
        <v>27</v>
      </c>
      <c r="I34" t="s">
        <v>1071</v>
      </c>
    </row>
    <row r="36" spans="1:9" x14ac:dyDescent="0.25">
      <c r="A36" t="s">
        <v>789</v>
      </c>
      <c r="B36" s="12" t="s">
        <v>893</v>
      </c>
      <c r="C36" t="s">
        <v>1154</v>
      </c>
      <c r="D36" t="s">
        <v>1155</v>
      </c>
      <c r="E36" t="s">
        <v>1079</v>
      </c>
      <c r="F36" t="s">
        <v>27</v>
      </c>
      <c r="G36" t="s">
        <v>1069</v>
      </c>
      <c r="H36" t="s">
        <v>387</v>
      </c>
      <c r="I36" t="s">
        <v>1087</v>
      </c>
    </row>
    <row r="37" spans="1:9" x14ac:dyDescent="0.25">
      <c r="A37" t="s">
        <v>789</v>
      </c>
      <c r="B37" s="12" t="s">
        <v>894</v>
      </c>
      <c r="C37" t="s">
        <v>1150</v>
      </c>
      <c r="D37" t="s">
        <v>1148</v>
      </c>
      <c r="E37" t="s">
        <v>1077</v>
      </c>
      <c r="F37" t="s">
        <v>27</v>
      </c>
      <c r="G37" t="s">
        <v>1076</v>
      </c>
      <c r="H37" t="s">
        <v>27</v>
      </c>
      <c r="I37" t="s">
        <v>1086</v>
      </c>
    </row>
    <row r="38" spans="1:9" x14ac:dyDescent="0.25">
      <c r="A38" t="s">
        <v>789</v>
      </c>
      <c r="B38" s="12" t="s">
        <v>891</v>
      </c>
      <c r="C38" t="s">
        <v>565</v>
      </c>
      <c r="D38">
        <v>100</v>
      </c>
      <c r="E38" t="s">
        <v>1081</v>
      </c>
      <c r="F38" t="s">
        <v>1207</v>
      </c>
      <c r="G38" t="s">
        <v>1069</v>
      </c>
      <c r="H38" t="s">
        <v>387</v>
      </c>
      <c r="I38" t="s">
        <v>1083</v>
      </c>
    </row>
    <row r="39" spans="1:9" x14ac:dyDescent="0.25">
      <c r="A39" t="s">
        <v>789</v>
      </c>
      <c r="B39" s="12" t="s">
        <v>890</v>
      </c>
      <c r="C39" t="s">
        <v>1156</v>
      </c>
      <c r="D39" t="s">
        <v>1157</v>
      </c>
      <c r="E39" t="s">
        <v>1035</v>
      </c>
      <c r="F39">
        <v>1000</v>
      </c>
      <c r="G39" t="s">
        <v>1069</v>
      </c>
      <c r="H39" t="s">
        <v>27</v>
      </c>
      <c r="I39" t="s">
        <v>1089</v>
      </c>
    </row>
    <row r="41" spans="1:9" x14ac:dyDescent="0.25">
      <c r="A41" t="s">
        <v>744</v>
      </c>
      <c r="B41" s="12" t="s">
        <v>867</v>
      </c>
      <c r="C41" t="s">
        <v>1039</v>
      </c>
      <c r="D41" t="s">
        <v>27</v>
      </c>
      <c r="E41" t="s">
        <v>1204</v>
      </c>
      <c r="F41" t="s">
        <v>1205</v>
      </c>
      <c r="G41" t="s">
        <v>1191</v>
      </c>
      <c r="H41">
        <v>99.999989999999997</v>
      </c>
      <c r="I41" t="s">
        <v>1116</v>
      </c>
    </row>
    <row r="42" spans="1:9" x14ac:dyDescent="0.25">
      <c r="A42" t="s">
        <v>744</v>
      </c>
      <c r="B42" s="12" t="s">
        <v>865</v>
      </c>
      <c r="C42" t="s">
        <v>565</v>
      </c>
      <c r="D42" t="s">
        <v>27</v>
      </c>
      <c r="E42">
        <v>1600</v>
      </c>
      <c r="F42" t="s">
        <v>27</v>
      </c>
      <c r="G42" t="s">
        <v>347</v>
      </c>
      <c r="H42">
        <v>99.999999900000006</v>
      </c>
      <c r="I42" t="s">
        <v>1112</v>
      </c>
    </row>
    <row r="44" spans="1:9" x14ac:dyDescent="0.25">
      <c r="A44" t="s">
        <v>786</v>
      </c>
      <c r="B44" s="12" t="s">
        <v>846</v>
      </c>
      <c r="C44" t="s">
        <v>1166</v>
      </c>
      <c r="D44" t="s">
        <v>1167</v>
      </c>
      <c r="E44" t="s">
        <v>1063</v>
      </c>
      <c r="F44" t="s">
        <v>1203</v>
      </c>
      <c r="G44" t="s">
        <v>1073</v>
      </c>
      <c r="H44" t="s">
        <v>27</v>
      </c>
      <c r="I44" t="s">
        <v>1126</v>
      </c>
    </row>
    <row r="45" spans="1:9" x14ac:dyDescent="0.25">
      <c r="A45" t="s">
        <v>786</v>
      </c>
      <c r="B45" s="12" t="s">
        <v>847</v>
      </c>
      <c r="C45" t="s">
        <v>1134</v>
      </c>
      <c r="D45" t="s">
        <v>1033</v>
      </c>
      <c r="E45" t="s">
        <v>1202</v>
      </c>
      <c r="F45">
        <v>10000</v>
      </c>
      <c r="G45" t="s">
        <v>347</v>
      </c>
      <c r="H45" t="s">
        <v>27</v>
      </c>
      <c r="I45" t="s">
        <v>1131</v>
      </c>
    </row>
    <row r="46" spans="1:9" x14ac:dyDescent="0.25">
      <c r="A46" t="s">
        <v>786</v>
      </c>
      <c r="B46" s="12" t="s">
        <v>849</v>
      </c>
      <c r="C46" t="s">
        <v>1124</v>
      </c>
      <c r="D46" t="s">
        <v>27</v>
      </c>
      <c r="E46" t="s">
        <v>1080</v>
      </c>
      <c r="F46" t="s">
        <v>27</v>
      </c>
      <c r="G46" t="s">
        <v>1125</v>
      </c>
      <c r="H46" t="s">
        <v>27</v>
      </c>
      <c r="I46" t="s">
        <v>400</v>
      </c>
    </row>
    <row r="48" spans="1:9" x14ac:dyDescent="0.25">
      <c r="A48" t="s">
        <v>785</v>
      </c>
      <c r="B48" s="12" t="s">
        <v>858</v>
      </c>
      <c r="C48" t="s">
        <v>1161</v>
      </c>
      <c r="D48" t="s">
        <v>1163</v>
      </c>
      <c r="E48" t="s">
        <v>1093</v>
      </c>
      <c r="F48" t="s">
        <v>27</v>
      </c>
      <c r="G48" t="s">
        <v>1069</v>
      </c>
      <c r="H48">
        <v>99.999989999999997</v>
      </c>
      <c r="I48" t="s">
        <v>1210</v>
      </c>
    </row>
    <row r="49" spans="1:9" x14ac:dyDescent="0.25">
      <c r="A49" t="s">
        <v>785</v>
      </c>
      <c r="B49" s="12" t="s">
        <v>860</v>
      </c>
      <c r="C49" t="s">
        <v>1035</v>
      </c>
      <c r="D49" t="s">
        <v>27</v>
      </c>
      <c r="E49">
        <v>1</v>
      </c>
      <c r="F49">
        <v>1000</v>
      </c>
      <c r="G49" t="s">
        <v>1189</v>
      </c>
      <c r="H49" t="s">
        <v>434</v>
      </c>
      <c r="I49" t="s">
        <v>1123</v>
      </c>
    </row>
    <row r="50" spans="1:9" x14ac:dyDescent="0.25">
      <c r="A50" t="s">
        <v>785</v>
      </c>
      <c r="B50" s="12" t="s">
        <v>859</v>
      </c>
      <c r="C50" t="s">
        <v>1161</v>
      </c>
      <c r="D50">
        <v>100</v>
      </c>
      <c r="E50" t="s">
        <v>548</v>
      </c>
      <c r="F50">
        <v>1000</v>
      </c>
      <c r="G50">
        <v>95</v>
      </c>
      <c r="H50" t="s">
        <v>454</v>
      </c>
      <c r="I50" t="s">
        <v>400</v>
      </c>
    </row>
    <row r="52" spans="1:9" x14ac:dyDescent="0.25">
      <c r="A52" s="7" t="s">
        <v>1247</v>
      </c>
    </row>
    <row r="53" spans="1:9" x14ac:dyDescent="0.25">
      <c r="A53" s="1" t="s">
        <v>4</v>
      </c>
      <c r="B53" s="1" t="s">
        <v>1226</v>
      </c>
      <c r="C53" s="1" t="s">
        <v>1227</v>
      </c>
      <c r="D53" s="1" t="s">
        <v>1228</v>
      </c>
      <c r="E53" s="1" t="s">
        <v>1229</v>
      </c>
      <c r="F53" s="1" t="s">
        <v>332</v>
      </c>
      <c r="G53" s="1" t="s">
        <v>1230</v>
      </c>
      <c r="I53" s="1"/>
    </row>
    <row r="54" spans="1:9" x14ac:dyDescent="0.25">
      <c r="A54" s="23" t="s">
        <v>788</v>
      </c>
      <c r="B54" t="s">
        <v>1231</v>
      </c>
      <c r="C54" t="s">
        <v>1245</v>
      </c>
      <c r="D54" t="s">
        <v>1093</v>
      </c>
      <c r="E54">
        <v>1000</v>
      </c>
      <c r="F54" t="s">
        <v>1193</v>
      </c>
      <c r="G54" t="s">
        <v>27</v>
      </c>
    </row>
    <row r="56" spans="1:9" x14ac:dyDescent="0.25">
      <c r="A56" t="s">
        <v>790</v>
      </c>
      <c r="B56" t="s">
        <v>1232</v>
      </c>
      <c r="C56" t="s">
        <v>1243</v>
      </c>
      <c r="D56" t="s">
        <v>1208</v>
      </c>
      <c r="E56">
        <v>100</v>
      </c>
      <c r="F56" t="s">
        <v>1192</v>
      </c>
      <c r="G56" t="s">
        <v>407</v>
      </c>
    </row>
    <row r="57" spans="1:9" x14ac:dyDescent="0.25">
      <c r="A57" s="23"/>
    </row>
    <row r="58" spans="1:9" x14ac:dyDescent="0.25">
      <c r="A58" t="s">
        <v>789</v>
      </c>
      <c r="B58" t="s">
        <v>1154</v>
      </c>
      <c r="C58" t="s">
        <v>1244</v>
      </c>
      <c r="D58" t="s">
        <v>1233</v>
      </c>
      <c r="E58" t="s">
        <v>1207</v>
      </c>
      <c r="F58" t="s">
        <v>1069</v>
      </c>
      <c r="G58" t="s">
        <v>387</v>
      </c>
    </row>
    <row r="60" spans="1:9" x14ac:dyDescent="0.25">
      <c r="A60" t="s">
        <v>744</v>
      </c>
      <c r="B60" t="s">
        <v>1234</v>
      </c>
      <c r="C60" t="s">
        <v>27</v>
      </c>
      <c r="D60" t="s">
        <v>1246</v>
      </c>
      <c r="E60" t="s">
        <v>998</v>
      </c>
      <c r="F60" t="s">
        <v>1191</v>
      </c>
      <c r="G60" t="s">
        <v>1235</v>
      </c>
    </row>
    <row r="62" spans="1:9" x14ac:dyDescent="0.25">
      <c r="A62" t="s">
        <v>786</v>
      </c>
      <c r="B62" t="s">
        <v>1236</v>
      </c>
      <c r="C62" t="s">
        <v>1033</v>
      </c>
      <c r="D62" t="s">
        <v>1237</v>
      </c>
      <c r="E62" t="s">
        <v>1238</v>
      </c>
      <c r="F62" t="s">
        <v>1239</v>
      </c>
      <c r="G62" t="s">
        <v>27</v>
      </c>
    </row>
    <row r="64" spans="1:9" x14ac:dyDescent="0.25">
      <c r="A64" t="s">
        <v>785</v>
      </c>
      <c r="B64" t="s">
        <v>1035</v>
      </c>
      <c r="C64" t="s">
        <v>1240</v>
      </c>
      <c r="D64" t="s">
        <v>1093</v>
      </c>
      <c r="E64">
        <v>1000</v>
      </c>
      <c r="F64" t="s">
        <v>1241</v>
      </c>
      <c r="G64" t="s">
        <v>1242</v>
      </c>
    </row>
    <row r="66" spans="1:7" x14ac:dyDescent="0.25">
      <c r="A66" s="7" t="s">
        <v>1248</v>
      </c>
    </row>
    <row r="67" spans="1:7" x14ac:dyDescent="0.25">
      <c r="A67" s="1" t="s">
        <v>4</v>
      </c>
      <c r="B67" s="1" t="s">
        <v>8</v>
      </c>
      <c r="C67" s="1" t="s">
        <v>576</v>
      </c>
      <c r="D67" s="1" t="s">
        <v>13</v>
      </c>
      <c r="G67" s="1"/>
    </row>
    <row r="68" spans="1:7" x14ac:dyDescent="0.25">
      <c r="A68" s="23" t="s">
        <v>788</v>
      </c>
      <c r="B68" s="9" t="s">
        <v>1231</v>
      </c>
      <c r="C68" t="s">
        <v>1093</v>
      </c>
      <c r="D68" s="6" t="s">
        <v>1193</v>
      </c>
      <c r="F68" t="s">
        <v>1250</v>
      </c>
    </row>
    <row r="69" spans="1:7" x14ac:dyDescent="0.25">
      <c r="A69" t="s">
        <v>790</v>
      </c>
      <c r="B69" t="s">
        <v>1232</v>
      </c>
      <c r="C69" t="s">
        <v>1208</v>
      </c>
      <c r="D69" t="s">
        <v>1192</v>
      </c>
      <c r="F69" t="s">
        <v>1249</v>
      </c>
    </row>
    <row r="70" spans="1:7" x14ac:dyDescent="0.25">
      <c r="A70" t="s">
        <v>789</v>
      </c>
      <c r="B70" s="6" t="s">
        <v>1154</v>
      </c>
      <c r="C70" s="9" t="s">
        <v>1233</v>
      </c>
      <c r="D70" t="s">
        <v>1069</v>
      </c>
    </row>
    <row r="71" spans="1:7" x14ac:dyDescent="0.25">
      <c r="A71" t="s">
        <v>744</v>
      </c>
      <c r="B71" t="s">
        <v>1234</v>
      </c>
      <c r="C71" s="6" t="s">
        <v>1246</v>
      </c>
      <c r="D71" t="s">
        <v>1191</v>
      </c>
    </row>
    <row r="72" spans="1:7" x14ac:dyDescent="0.25">
      <c r="A72" t="s">
        <v>786</v>
      </c>
      <c r="B72" t="s">
        <v>1236</v>
      </c>
      <c r="C72" t="s">
        <v>1237</v>
      </c>
      <c r="D72" s="9" t="s">
        <v>1239</v>
      </c>
    </row>
    <row r="73" spans="1:7" x14ac:dyDescent="0.25">
      <c r="A73" t="s">
        <v>785</v>
      </c>
      <c r="B73" t="s">
        <v>1035</v>
      </c>
      <c r="C73" t="s">
        <v>1093</v>
      </c>
      <c r="D73" s="9" t="s">
        <v>1241</v>
      </c>
    </row>
    <row r="76" spans="1:7" x14ac:dyDescent="0.25">
      <c r="B76" s="7"/>
    </row>
    <row r="77" spans="1:7" x14ac:dyDescent="0.25">
      <c r="B77" s="1"/>
      <c r="C77" s="1"/>
      <c r="D77" s="1"/>
      <c r="E77" s="1"/>
    </row>
    <row r="78" spans="1:7" x14ac:dyDescent="0.25">
      <c r="A78" s="23"/>
    </row>
  </sheetData>
  <sortState xmlns:xlrd2="http://schemas.microsoft.com/office/spreadsheetml/2017/richdata2" ref="A79:D83">
    <sortCondition ref="B79:B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transposed</vt:lpstr>
      <vt:lpstr>sorted columns</vt:lpstr>
      <vt:lpstr>domain mapping table</vt:lpstr>
      <vt:lpstr>domain sorted</vt:lpstr>
      <vt:lpstr>application mapping table</vt:lpstr>
      <vt:lpstr>application sorted</vt:lpstr>
      <vt:lpstr>normalized</vt:lpstr>
      <vt:lpstr>merged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Leclerc</dc:creator>
  <cp:lastModifiedBy>Sebastian Leclerc</cp:lastModifiedBy>
  <cp:lastPrinted>2025-12-18T10:33:46Z</cp:lastPrinted>
  <dcterms:created xsi:type="dcterms:W3CDTF">2022-03-30T15:27:03Z</dcterms:created>
  <dcterms:modified xsi:type="dcterms:W3CDTF">2026-01-26T10:47:26Z</dcterms:modified>
</cp:coreProperties>
</file>